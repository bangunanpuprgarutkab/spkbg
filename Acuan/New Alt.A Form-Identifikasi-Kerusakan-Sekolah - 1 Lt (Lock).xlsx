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Pro J7\Downloads\"/>
    </mc:Choice>
  </mc:AlternateContent>
  <xr:revisionPtr revIDLastSave="0" documentId="8_{47503B45-A576-474F-AD14-7240BB7B2219}" xr6:coauthVersionLast="47" xr6:coauthVersionMax="47" xr10:uidLastSave="{00000000-0000-0000-0000-000000000000}"/>
  <bookViews>
    <workbookView xWindow="-110" yWindow="-110" windowWidth="19420" windowHeight="10300" tabRatio="798" firstSheet="1" activeTab="1" xr2:uid="{00000000-000D-0000-FFFF-FFFF00000000}"/>
  </bookViews>
  <sheets>
    <sheet name="FORM KERUSAKAN" sheetId="4" state="hidden" r:id="rId1"/>
    <sheet name="New FORM KERUSAKAN" sheetId="13" r:id="rId2"/>
    <sheet name="Sheet3" sheetId="11" state="hidden" r:id="rId3"/>
    <sheet name="Sheet1" sheetId="9" state="hidden" r:id="rId4"/>
    <sheet name="Sheet5" sheetId="5" state="hidden" r:id="rId5"/>
    <sheet name="Sheet2" sheetId="10" state="hidden" r:id="rId6"/>
    <sheet name="Atap" sheetId="8" state="hidden" r:id="rId7"/>
    <sheet name="Form II" sheetId="1" state="hidden" r:id="rId8"/>
    <sheet name="Sheet4" sheetId="12" state="hidden" r:id="rId9"/>
  </sheets>
  <externalReferences>
    <externalReference r:id="rId10"/>
  </externalReferences>
  <definedNames>
    <definedName name="d" localSheetId="0">#REF!</definedName>
    <definedName name="d" localSheetId="1">#REF!</definedName>
    <definedName name="d">#REF!</definedName>
    <definedName name="DBS" localSheetId="0">#REF!</definedName>
    <definedName name="DBS" localSheetId="1">#REF!</definedName>
    <definedName name="DBS">#REF!</definedName>
    <definedName name="dd" localSheetId="0">#REF!</definedName>
    <definedName name="dd" localSheetId="1">#REF!</definedName>
    <definedName name="dd">#REF!</definedName>
    <definedName name="ddd" localSheetId="0">#REF!</definedName>
    <definedName name="ddd" localSheetId="1">#REF!</definedName>
    <definedName name="ddd">#REF!</definedName>
    <definedName name="kerusakanlistrik">Sheet5!$B$3:$C$8</definedName>
    <definedName name="med" localSheetId="0">#REF!</definedName>
    <definedName name="med" localSheetId="1">#REF!</definedName>
    <definedName name="med">#REF!</definedName>
    <definedName name="MEDALI" localSheetId="0">#REF!</definedName>
    <definedName name="MEDALI" localSheetId="1">#REF!</definedName>
    <definedName name="MEDALI">#REF!</definedName>
    <definedName name="medalii" localSheetId="0">#REF!</definedName>
    <definedName name="medalii" localSheetId="1">#REF!</definedName>
    <definedName name="medalii">#REF!</definedName>
    <definedName name="_xlnm.Print_Area" localSheetId="7">'Form II'!$B$2:$I$61</definedName>
    <definedName name="_xlnm.Print_Area" localSheetId="0">'FORM KERUSAKAN'!$B$2:$Z$61</definedName>
    <definedName name="_xlnm.Print_Area" localSheetId="1">'New FORM KERUSAKAN'!$B$2:$AA$61</definedName>
    <definedName name="Print_Area_MI">#N/A</definedName>
    <definedName name="REKAP" localSheetId="0">'[1]BEST OF'!#REF!</definedName>
    <definedName name="REKAP" localSheetId="1">'[1]BEST OF'!#REF!</definedName>
    <definedName name="REKAP">'[1]BEST OF'!#REF!</definedName>
    <definedName name="rrr" localSheetId="0">'[1]BEST OF'!#REF!</definedName>
    <definedName name="rrr" localSheetId="1">'[1]BEST OF'!#REF!</definedName>
    <definedName name="rrr">'[1]BEST OF'!#REF!</definedName>
    <definedName name="SMA" localSheetId="0">#REF!</definedName>
    <definedName name="SMA" localSheetId="1">#REF!</definedName>
    <definedName name="SMA">#REF!</definedName>
    <definedName name="TOTAL" localSheetId="0">#REF!</definedName>
    <definedName name="TOTAL" localSheetId="1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9" i="13" l="1"/>
  <c r="W30" i="13"/>
  <c r="W29" i="13"/>
  <c r="W28" i="13"/>
  <c r="X28" i="13" s="1"/>
  <c r="V30" i="13"/>
  <c r="V29" i="13"/>
  <c r="V28" i="13"/>
  <c r="U30" i="13"/>
  <c r="U29" i="13"/>
  <c r="U28" i="13"/>
  <c r="T30" i="13"/>
  <c r="T29" i="13"/>
  <c r="T28" i="13"/>
  <c r="S30" i="13"/>
  <c r="S29" i="13"/>
  <c r="S28" i="13"/>
  <c r="R30" i="13"/>
  <c r="R29" i="13"/>
  <c r="R28" i="13"/>
  <c r="Q30" i="13"/>
  <c r="Q29" i="13"/>
  <c r="Q28" i="13"/>
  <c r="W24" i="13"/>
  <c r="X24" i="13" s="1"/>
  <c r="V24" i="13"/>
  <c r="U24" i="13"/>
  <c r="T24" i="13"/>
  <c r="S24" i="13"/>
  <c r="R24" i="13"/>
  <c r="Q24" i="13"/>
  <c r="W23" i="13"/>
  <c r="X23" i="13" s="1"/>
  <c r="V23" i="13"/>
  <c r="U23" i="13"/>
  <c r="T23" i="13"/>
  <c r="S23" i="13"/>
  <c r="R23" i="13"/>
  <c r="Q23" i="13"/>
  <c r="W22" i="13"/>
  <c r="V22" i="13"/>
  <c r="U22" i="13"/>
  <c r="T22" i="13"/>
  <c r="S22" i="13"/>
  <c r="R22" i="13"/>
  <c r="Q22" i="13"/>
  <c r="W21" i="13"/>
  <c r="V21" i="13"/>
  <c r="U21" i="13"/>
  <c r="T21" i="13"/>
  <c r="S21" i="13"/>
  <c r="R21" i="13"/>
  <c r="Q21" i="13"/>
  <c r="O33" i="13"/>
  <c r="O29" i="13"/>
  <c r="O30" i="13"/>
  <c r="O28" i="13"/>
  <c r="O26" i="13"/>
  <c r="O27" i="13"/>
  <c r="O25" i="13"/>
  <c r="O24" i="13"/>
  <c r="O23" i="13"/>
  <c r="O22" i="13"/>
  <c r="O21" i="13"/>
  <c r="O20" i="13"/>
  <c r="O19" i="13"/>
  <c r="X22" i="13" l="1"/>
  <c r="X21" i="13"/>
  <c r="X30" i="13"/>
  <c r="P18" i="13"/>
  <c r="P20" i="13"/>
  <c r="P19" i="13"/>
  <c r="P22" i="13"/>
  <c r="P21" i="13"/>
  <c r="W33" i="13"/>
  <c r="V33" i="13"/>
  <c r="U33" i="13"/>
  <c r="T33" i="13"/>
  <c r="S33" i="13"/>
  <c r="R33" i="13"/>
  <c r="Q33" i="13"/>
  <c r="X32" i="13"/>
  <c r="Z32" i="13" s="1"/>
  <c r="X31" i="13"/>
  <c r="Z31" i="13" s="1"/>
  <c r="W27" i="13"/>
  <c r="V27" i="13"/>
  <c r="U27" i="13"/>
  <c r="T27" i="13"/>
  <c r="S27" i="13"/>
  <c r="R27" i="13"/>
  <c r="Q27" i="13"/>
  <c r="W26" i="13"/>
  <c r="V26" i="13"/>
  <c r="U26" i="13"/>
  <c r="T26" i="13"/>
  <c r="S26" i="13"/>
  <c r="R26" i="13"/>
  <c r="Q26" i="13"/>
  <c r="W25" i="13"/>
  <c r="V25" i="13"/>
  <c r="U25" i="13"/>
  <c r="T25" i="13"/>
  <c r="S25" i="13"/>
  <c r="R25" i="13"/>
  <c r="Q25" i="13"/>
  <c r="W20" i="13"/>
  <c r="V20" i="13"/>
  <c r="U20" i="13"/>
  <c r="T20" i="13"/>
  <c r="S20" i="13"/>
  <c r="R20" i="13"/>
  <c r="Q20" i="13"/>
  <c r="W19" i="13"/>
  <c r="V19" i="13"/>
  <c r="U19" i="13"/>
  <c r="T19" i="13"/>
  <c r="S19" i="13"/>
  <c r="R19" i="13"/>
  <c r="Q19" i="13"/>
  <c r="X18" i="13"/>
  <c r="Z18" i="13" s="1"/>
  <c r="H34" i="4"/>
  <c r="P34" i="13" l="1"/>
  <c r="Z30" i="13"/>
  <c r="X20" i="13"/>
  <c r="Z20" i="13" s="1"/>
  <c r="Z22" i="13"/>
  <c r="Z21" i="13"/>
  <c r="Z29" i="13"/>
  <c r="Z28" i="13"/>
  <c r="Z24" i="13"/>
  <c r="X19" i="13"/>
  <c r="Z19" i="13" s="1"/>
  <c r="X33" i="13"/>
  <c r="Z33" i="13" s="1"/>
  <c r="X25" i="13"/>
  <c r="Z25" i="13" s="1"/>
  <c r="Z23" i="13"/>
  <c r="X27" i="13"/>
  <c r="Z27" i="13" s="1"/>
  <c r="X26" i="13"/>
  <c r="Z26" i="13" s="1"/>
  <c r="W32" i="4"/>
  <c r="Y32" i="4" s="1"/>
  <c r="W31" i="4"/>
  <c r="Y31" i="4" s="1"/>
  <c r="V33" i="4"/>
  <c r="P33" i="4"/>
  <c r="V30" i="4"/>
  <c r="P30" i="4"/>
  <c r="V29" i="4"/>
  <c r="P29" i="4"/>
  <c r="V28" i="4"/>
  <c r="P28" i="4"/>
  <c r="V24" i="4"/>
  <c r="P24" i="4"/>
  <c r="V23" i="4"/>
  <c r="P23" i="4"/>
  <c r="V22" i="4"/>
  <c r="P22" i="4"/>
  <c r="V21" i="4"/>
  <c r="P21" i="4"/>
  <c r="V27" i="4"/>
  <c r="P27" i="4"/>
  <c r="V26" i="4"/>
  <c r="P26" i="4"/>
  <c r="V25" i="4"/>
  <c r="P25" i="4"/>
  <c r="V20" i="4"/>
  <c r="P20" i="4"/>
  <c r="V19" i="4"/>
  <c r="P19" i="4"/>
  <c r="W18" i="4"/>
  <c r="Y18" i="4" s="1"/>
  <c r="Z34" i="13" l="1"/>
  <c r="Z37" i="13" s="1"/>
  <c r="Z36" i="13" s="1"/>
  <c r="H35" i="12"/>
  <c r="Q16" i="12"/>
  <c r="R16" i="12" s="1"/>
  <c r="S16" i="12" s="1"/>
  <c r="T16" i="12" s="1"/>
  <c r="U16" i="12" s="1"/>
  <c r="W18" i="12" l="1"/>
  <c r="S19" i="12" l="1"/>
  <c r="V21" i="12"/>
  <c r="R19" i="12"/>
  <c r="Q20" i="12"/>
  <c r="U20" i="12"/>
  <c r="S21" i="12"/>
  <c r="P20" i="12"/>
  <c r="U21" i="12"/>
  <c r="R20" i="12"/>
  <c r="R21" i="12"/>
  <c r="V20" i="12"/>
  <c r="P19" i="12"/>
  <c r="U19" i="12"/>
  <c r="T20" i="12"/>
  <c r="V19" i="12"/>
  <c r="Q19" i="12"/>
  <c r="T21" i="12"/>
  <c r="T19" i="12"/>
  <c r="Q21" i="12"/>
  <c r="S20" i="12"/>
  <c r="P21" i="12"/>
  <c r="W20" i="12" l="1"/>
  <c r="Q22" i="12" s="1"/>
  <c r="W21" i="12"/>
  <c r="W19" i="12"/>
  <c r="R22" i="12" s="1"/>
  <c r="E7" i="10"/>
  <c r="E8" i="10" s="1"/>
  <c r="E9" i="10" s="1"/>
  <c r="E10" i="10" s="1"/>
  <c r="E11" i="10" s="1"/>
  <c r="E12" i="10" s="1"/>
  <c r="F7" i="10"/>
  <c r="P22" i="12" l="1"/>
  <c r="W22" i="12" s="1"/>
  <c r="V22" i="12"/>
  <c r="U22" i="12"/>
  <c r="T22" i="12"/>
  <c r="S22" i="12"/>
  <c r="Q23" i="4"/>
  <c r="Q27" i="4"/>
  <c r="Q24" i="4"/>
  <c r="Q19" i="4"/>
  <c r="Q22" i="4"/>
  <c r="Q28" i="4"/>
  <c r="Q20" i="4"/>
  <c r="Q29" i="4"/>
  <c r="Q25" i="4"/>
  <c r="Q30" i="4"/>
  <c r="Q26" i="4"/>
  <c r="Q33" i="4"/>
  <c r="Q21" i="4"/>
  <c r="U23" i="12"/>
  <c r="R23" i="12"/>
  <c r="S23" i="12"/>
  <c r="V23" i="12"/>
  <c r="T23" i="12"/>
  <c r="Q23" i="12"/>
  <c r="P23" i="12"/>
  <c r="W23" i="12" s="1"/>
  <c r="I35" i="12" s="1"/>
  <c r="R24" i="4" l="1"/>
  <c r="R19" i="4"/>
  <c r="R28" i="4"/>
  <c r="R20" i="4"/>
  <c r="R22" i="4"/>
  <c r="R29" i="4"/>
  <c r="R25" i="4"/>
  <c r="R21" i="4"/>
  <c r="R30" i="4"/>
  <c r="R26" i="4"/>
  <c r="R33" i="4"/>
  <c r="R27" i="4"/>
  <c r="R23" i="4"/>
  <c r="Q28" i="12"/>
  <c r="S27" i="12"/>
  <c r="Q24" i="12"/>
  <c r="U26" i="12"/>
  <c r="R34" i="12"/>
  <c r="W32" i="12"/>
  <c r="R31" i="12"/>
  <c r="T30" i="12"/>
  <c r="V29" i="12"/>
  <c r="P28" i="12"/>
  <c r="W28" i="12" s="1"/>
  <c r="Y28" i="12" s="1"/>
  <c r="R27" i="12"/>
  <c r="V25" i="12"/>
  <c r="U28" i="12"/>
  <c r="S25" i="12"/>
  <c r="P24" i="12"/>
  <c r="W24" i="12" s="1"/>
  <c r="Y24" i="12" s="1"/>
  <c r="Y20" i="12"/>
  <c r="Q26" i="12"/>
  <c r="U24" i="12"/>
  <c r="T26" i="12"/>
  <c r="V34" i="12"/>
  <c r="R30" i="12"/>
  <c r="P27" i="12"/>
  <c r="W27" i="12" s="1"/>
  <c r="Y27" i="12" s="1"/>
  <c r="S30" i="12"/>
  <c r="U34" i="12"/>
  <c r="P25" i="12"/>
  <c r="W25" i="12" s="1"/>
  <c r="Y25" i="12" s="1"/>
  <c r="T24" i="12"/>
  <c r="P30" i="12"/>
  <c r="P31" i="12"/>
  <c r="T29" i="12"/>
  <c r="Q31" i="12"/>
  <c r="W31" i="12" s="1"/>
  <c r="Y31" i="12" s="1"/>
  <c r="U27" i="12"/>
  <c r="V26" i="12"/>
  <c r="Y18" i="12"/>
  <c r="R25" i="12"/>
  <c r="V31" i="12"/>
  <c r="S24" i="12"/>
  <c r="Q25" i="12"/>
  <c r="U25" i="12"/>
  <c r="R24" i="12"/>
  <c r="S28" i="12"/>
  <c r="T27" i="12"/>
  <c r="P26" i="12"/>
  <c r="W26" i="12" s="1"/>
  <c r="Y26" i="12" s="1"/>
  <c r="Y32" i="12"/>
  <c r="S31" i="12"/>
  <c r="T28" i="12"/>
  <c r="Y21" i="12"/>
  <c r="V28" i="12"/>
  <c r="P34" i="12"/>
  <c r="Y19" i="12"/>
  <c r="S26" i="12"/>
  <c r="Q34" i="12"/>
  <c r="W34" i="12" s="1"/>
  <c r="Y34" i="12" s="1"/>
  <c r="Q29" i="12"/>
  <c r="U30" i="12"/>
  <c r="P29" i="12"/>
  <c r="W29" i="12" s="1"/>
  <c r="Y29" i="12" s="1"/>
  <c r="V27" i="12"/>
  <c r="T31" i="12"/>
  <c r="R29" i="12"/>
  <c r="W33" i="12"/>
  <c r="Y33" i="12" s="1"/>
  <c r="V24" i="12"/>
  <c r="Q27" i="12"/>
  <c r="R28" i="12"/>
  <c r="U31" i="12"/>
  <c r="U29" i="12"/>
  <c r="R26" i="12"/>
  <c r="S29" i="12"/>
  <c r="T34" i="12"/>
  <c r="V30" i="12"/>
  <c r="Y22" i="12"/>
  <c r="T25" i="12"/>
  <c r="Q30" i="12"/>
  <c r="W30" i="12" s="1"/>
  <c r="Y30" i="12" s="1"/>
  <c r="Y23" i="12"/>
  <c r="S34" i="12"/>
  <c r="S28" i="4" l="1"/>
  <c r="S20" i="4"/>
  <c r="S23" i="4"/>
  <c r="S29" i="4"/>
  <c r="S25" i="4"/>
  <c r="S19" i="4"/>
  <c r="S30" i="4"/>
  <c r="S26" i="4"/>
  <c r="S24" i="4"/>
  <c r="S33" i="4"/>
  <c r="S27" i="4"/>
  <c r="S21" i="4"/>
  <c r="S22" i="4"/>
  <c r="Y35" i="12"/>
  <c r="Y38" i="12" s="1"/>
  <c r="Y37" i="12" s="1"/>
  <c r="T29" i="4" l="1"/>
  <c r="T25" i="4"/>
  <c r="T30" i="4"/>
  <c r="T26" i="4"/>
  <c r="T23" i="4"/>
  <c r="T20" i="4"/>
  <c r="T33" i="4"/>
  <c r="T27" i="4"/>
  <c r="T24" i="4"/>
  <c r="T21" i="4"/>
  <c r="T22" i="4"/>
  <c r="T19" i="4"/>
  <c r="T28" i="4"/>
  <c r="C26" i="1"/>
  <c r="B26" i="1" s="1"/>
  <c r="C27" i="1"/>
  <c r="B27" i="1" s="1"/>
  <c r="C28" i="1"/>
  <c r="B28" i="1" s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F37" i="1"/>
  <c r="U30" i="4" l="1"/>
  <c r="W30" i="4" s="1"/>
  <c r="Y30" i="4" s="1"/>
  <c r="U26" i="4"/>
  <c r="W26" i="4" s="1"/>
  <c r="Y26" i="4" s="1"/>
  <c r="U24" i="4"/>
  <c r="W24" i="4" s="1"/>
  <c r="Y24" i="4" s="1"/>
  <c r="U28" i="4"/>
  <c r="W28" i="4" s="1"/>
  <c r="Y28" i="4" s="1"/>
  <c r="U33" i="4"/>
  <c r="W33" i="4" s="1"/>
  <c r="Y33" i="4" s="1"/>
  <c r="U27" i="4"/>
  <c r="W27" i="4" s="1"/>
  <c r="Y27" i="4" s="1"/>
  <c r="U20" i="4"/>
  <c r="W20" i="4" s="1"/>
  <c r="Y20" i="4" s="1"/>
  <c r="U29" i="4"/>
  <c r="W29" i="4" s="1"/>
  <c r="Y29" i="4" s="1"/>
  <c r="U21" i="4"/>
  <c r="W21" i="4" s="1"/>
  <c r="Y21" i="4" s="1"/>
  <c r="U19" i="4"/>
  <c r="W19" i="4" s="1"/>
  <c r="Y19" i="4" s="1"/>
  <c r="U25" i="4"/>
  <c r="W25" i="4" s="1"/>
  <c r="Y25" i="4" s="1"/>
  <c r="U22" i="4"/>
  <c r="W22" i="4" s="1"/>
  <c r="Y22" i="4" s="1"/>
  <c r="U23" i="4"/>
  <c r="W23" i="4" s="1"/>
  <c r="Y23" i="4" s="1"/>
  <c r="I37" i="1"/>
  <c r="C25" i="1" s="1"/>
  <c r="B25" i="1" s="1"/>
  <c r="B31" i="1"/>
  <c r="C31" i="1" s="1"/>
  <c r="B32" i="1" s="1"/>
  <c r="I38" i="1" l="1"/>
  <c r="Y34" i="4"/>
  <c r="Y37" i="4" s="1"/>
  <c r="Y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BG</author>
  </authors>
  <commentList>
    <comment ref="F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BG:</t>
        </r>
        <r>
          <rPr>
            <sz val="9"/>
            <color indexed="81"/>
            <rFont val="Tahoma"/>
            <family val="2"/>
          </rPr>
          <t xml:space="preserve">
sub komponen dipisah,
bobot terhadap seluruh dihilangkan</t>
        </r>
      </text>
    </comment>
  </commentList>
</comments>
</file>

<file path=xl/sharedStrings.xml><?xml version="1.0" encoding="utf-8"?>
<sst xmlns="http://schemas.openxmlformats.org/spreadsheetml/2006/main" count="554" uniqueCount="228">
  <si>
    <t>FORMULIR SURVEI</t>
  </si>
  <si>
    <t>FORMULIR II</t>
  </si>
  <si>
    <t>KODE SURVEI :</t>
  </si>
  <si>
    <t>KAB./KOTA :</t>
  </si>
  <si>
    <t>BANGUNAN TERKENA DAMPAK GEMPA BUMI</t>
  </si>
  <si>
    <t>.......................................</t>
  </si>
  <si>
    <t>........................................</t>
  </si>
  <si>
    <t>PROVINSI NUSA TENGGARA BARAT</t>
  </si>
  <si>
    <t>TANGGAL SURVEI :</t>
  </si>
  <si>
    <t>KECAMATAN :</t>
  </si>
  <si>
    <t>TAHUN 2018</t>
  </si>
  <si>
    <t>..........  AGUSTUS 2018</t>
  </si>
  <si>
    <t>Nama Instansi/Pemilik Bangunan</t>
  </si>
  <si>
    <t>:</t>
  </si>
  <si>
    <t>Nama Bangunan</t>
  </si>
  <si>
    <t>Alamat</t>
  </si>
  <si>
    <t>Koordinat</t>
  </si>
  <si>
    <t>(x)</t>
  </si>
  <si>
    <t>(y)</t>
  </si>
  <si>
    <t>(diisi dengan format desimal)</t>
  </si>
  <si>
    <t>Luas Bangunan</t>
  </si>
  <si>
    <t>m2</t>
  </si>
  <si>
    <t>Jumlah Lantai        :</t>
  </si>
  <si>
    <t>Tipe Bangunan</t>
  </si>
  <si>
    <r>
      <t xml:space="preserve">Semi Permanen/Permanen </t>
    </r>
    <r>
      <rPr>
        <i/>
        <sz val="12"/>
        <color rgb="FF000000"/>
        <rFont val="Arial"/>
        <family val="2"/>
      </rPr>
      <t>(coret yang tidak sesuai)</t>
    </r>
  </si>
  <si>
    <t>NO</t>
  </si>
  <si>
    <t>Komponen Bangunan</t>
  </si>
  <si>
    <t>Sub Komponen</t>
  </si>
  <si>
    <t xml:space="preserve">BOBOT </t>
  </si>
  <si>
    <t xml:space="preserve">Terhadap </t>
  </si>
  <si>
    <t>Bobot</t>
  </si>
  <si>
    <t xml:space="preserve">Tingkat </t>
  </si>
  <si>
    <t>Hasil</t>
  </si>
  <si>
    <t>Seluruh Bangunan</t>
  </si>
  <si>
    <t>Maksimum</t>
  </si>
  <si>
    <t>Kerusakan *)</t>
  </si>
  <si>
    <t xml:space="preserve">Kerusakan </t>
  </si>
  <si>
    <t>(%)</t>
  </si>
  <si>
    <t>(1)</t>
  </si>
  <si>
    <t>(2)</t>
  </si>
  <si>
    <t>(3)</t>
  </si>
  <si>
    <t>(4)</t>
  </si>
  <si>
    <t>(5)</t>
  </si>
  <si>
    <t>(6)</t>
  </si>
  <si>
    <t>f = (4) x (6)</t>
  </si>
  <si>
    <t>PONDASI</t>
  </si>
  <si>
    <t xml:space="preserve">Pondasi </t>
  </si>
  <si>
    <t>STRUKTUR</t>
  </si>
  <si>
    <t xml:space="preserve">Kolom, Balok, dan Pelat  </t>
  </si>
  <si>
    <t>N&gt;30</t>
  </si>
  <si>
    <t>rusak berat</t>
  </si>
  <si>
    <t>ATAP</t>
  </si>
  <si>
    <t>Rangka Atap</t>
  </si>
  <si>
    <t>Penutup Atap</t>
  </si>
  <si>
    <t>PLAFOND</t>
  </si>
  <si>
    <t>Rangka Langit-langit</t>
  </si>
  <si>
    <t>Penutup Langit-langit</t>
  </si>
  <si>
    <t>DINDING</t>
  </si>
  <si>
    <t>Batu bata/Partisi</t>
  </si>
  <si>
    <t xml:space="preserve">Plesteran </t>
  </si>
  <si>
    <t xml:space="preserve">Kaca </t>
  </si>
  <si>
    <t>Pintu</t>
  </si>
  <si>
    <t xml:space="preserve">Kusen </t>
  </si>
  <si>
    <t>LANTAI</t>
  </si>
  <si>
    <t xml:space="preserve">Penutup Lantai </t>
  </si>
  <si>
    <t xml:space="preserve"> </t>
  </si>
  <si>
    <t>UTILITAS</t>
  </si>
  <si>
    <t xml:space="preserve">Instalasi Listrik </t>
  </si>
  <si>
    <t>Instalasi Air</t>
  </si>
  <si>
    <t xml:space="preserve">Drainase Limbah </t>
  </si>
  <si>
    <t>FINISHING</t>
  </si>
  <si>
    <t xml:space="preserve">Finishing Struktur </t>
  </si>
  <si>
    <t>Finishing Langit-langit</t>
  </si>
  <si>
    <t>Finishing Dinding</t>
  </si>
  <si>
    <t>Finishing Kusen/Pintu</t>
  </si>
  <si>
    <t xml:space="preserve">Jumlah </t>
  </si>
  <si>
    <t>Tingkat Kerusakan</t>
  </si>
  <si>
    <t>Ket : *) Diisi sesuai tingkat kerusakan dengan range 0 - 100 %</t>
  </si>
  <si>
    <t>SKETSA DENAH BANGUNAN</t>
  </si>
  <si>
    <t>TIM SURVEI :</t>
  </si>
  <si>
    <t>PETUGAS SURVEI 1</t>
  </si>
  <si>
    <t>(.................................................)</t>
  </si>
  <si>
    <t>PETUGAS SURVEI 2</t>
  </si>
  <si>
    <t>CATATAN</t>
  </si>
  <si>
    <t>PETUGAS SURVEI 3</t>
  </si>
  <si>
    <t>KOMPONEN</t>
  </si>
  <si>
    <t>unit</t>
  </si>
  <si>
    <t xml:space="preserve">Pondasi patah, bergeser akibat longsor, struktur atas menjadi rusak </t>
  </si>
  <si>
    <t>Penurunan tidak merata, namun perbedaan penurunan tidak melebihi 1/250 L</t>
  </si>
  <si>
    <t>Bangunan miring secara kasat mata, Lantai dasar naik/menggelembung</t>
  </si>
  <si>
    <t>Tidak ada kerusakan</t>
  </si>
  <si>
    <t>(8)</t>
  </si>
  <si>
    <t>SATUAN</t>
  </si>
  <si>
    <t xml:space="preserve">Kerusakan listrik </t>
  </si>
  <si>
    <t>tidak ada kerusakan</t>
  </si>
  <si>
    <t>kerusakan air bersih</t>
  </si>
  <si>
    <t>Luas A = ((8/2)+1) x (1+9) x 1,3</t>
  </si>
  <si>
    <t>Luas B = ((7/2)+0,36) x (1+9) x 1,3</t>
  </si>
  <si>
    <t>Luas A+B = luas penutup atap ruangan</t>
  </si>
  <si>
    <t>Luas C = luas penutup atap yang rusak (hasil pengukuran lapangan)</t>
  </si>
  <si>
    <t>Presentasi tingkat kerusakan:</t>
  </si>
  <si>
    <t>Luas C / (Luas A+B) x 100%</t>
  </si>
  <si>
    <t>No.</t>
  </si>
  <si>
    <t>Aspek</t>
  </si>
  <si>
    <t>Penjelasan</t>
  </si>
  <si>
    <t>Perhitungan</t>
  </si>
  <si>
    <t>Gambar</t>
  </si>
  <si>
    <t>Penutup atap adalah genteng, seng, zincalum atau bahan lain yang didigunakan sebagai penutup atap.</t>
  </si>
  <si>
    <t>Rangka Atap adalah struktur rangka dibawah penutup atap (reng, usuk/kasau, gording) termasuk kuda-kudanya.</t>
  </si>
  <si>
    <t>Luas C = luas rangka atap yang rusak (berdasarkan hasil pengukuran lapangan)</t>
  </si>
  <si>
    <t>KLASIFIKASI</t>
  </si>
  <si>
    <t xml:space="preserve">DESKRIPSI KERUSAKAN </t>
  </si>
  <si>
    <t>NILAI</t>
  </si>
  <si>
    <t>Reng rusak, kaso-kaso rusak. Genteng retak dan terdapat bocoran terbatas
Perubahan warna pada lapisan cat meluas
Karat meluas, konstruksi bergetar akibat angin</t>
  </si>
  <si>
    <t>Perubahan warna pada sebagian lapisan warna penutup atap
Genteng terlepas dari dudukannya
Karat mulai terlihat, gording melendut</t>
  </si>
  <si>
    <t>Baut penyambung dan plat sambungan bengkok, profil tertekuk, korosi meluas di banyak tempat 
Penutup atap melendut sangat besar dengan kemungkinan keruntuhan besar</t>
  </si>
  <si>
    <t>Komponen struktur tertekuk
Sambungan putus, profil tertekukl, konstruksi runtuh
Rangka atap runtuh</t>
  </si>
  <si>
    <t>%</t>
  </si>
  <si>
    <t>Struktur atap melendut, flens profil sobek, retak pada sambungan las 
Gording/ rangka plafond melendut
Penutup atap melendut besar dengan kemungkinan runtuh</t>
  </si>
  <si>
    <t>FORMULIR PENILAIAN KERUSAKAN BANGUNAN</t>
  </si>
  <si>
    <t>Jl. Timur Barat</t>
  </si>
  <si>
    <t>Provinsi</t>
  </si>
  <si>
    <t>Kabupaten/Kota</t>
  </si>
  <si>
    <t>Kabupaten</t>
  </si>
  <si>
    <t xml:space="preserve">Nama Sekolah </t>
  </si>
  <si>
    <t xml:space="preserve">SDN 1 Tegal </t>
  </si>
  <si>
    <t>Bangunan Kelas 1 -3</t>
  </si>
  <si>
    <t>NPSN</t>
  </si>
  <si>
    <t>20….</t>
  </si>
  <si>
    <t xml:space="preserve">: </t>
  </si>
  <si>
    <t>NUP (No Urut Perolehan)</t>
  </si>
  <si>
    <t>Dinas Kebudayaan Pendidikan Kab/Kota/Provinsi</t>
  </si>
  <si>
    <t xml:space="preserve">Menyetuji </t>
  </si>
  <si>
    <t>MENYETUJUI</t>
  </si>
  <si>
    <t>MENGETAHUI</t>
  </si>
  <si>
    <t>Dinas PU Kab/Kota/Provinsi*</t>
  </si>
  <si>
    <t xml:space="preserve">Note : </t>
  </si>
  <si>
    <t xml:space="preserve">* </t>
  </si>
  <si>
    <t xml:space="preserve">: Dinas PU/Dinas yang menangani Bangunan Gedung </t>
  </si>
  <si>
    <t>Petugas Survey</t>
  </si>
  <si>
    <t>Ringan</t>
  </si>
  <si>
    <t>: ≤ 30%</t>
  </si>
  <si>
    <t>Sedang</t>
  </si>
  <si>
    <t>: &gt; 30% - 45%</t>
  </si>
  <si>
    <t>Berat</t>
  </si>
  <si>
    <t>: &gt; 45%</t>
  </si>
  <si>
    <t>TOTAL NILAI KERUSAKAN 
MASSA BANGUNAN=</t>
  </si>
  <si>
    <t>SISTEM</t>
  </si>
  <si>
    <t>Plat Lantai</t>
  </si>
  <si>
    <t>ARSITEKTUR</t>
  </si>
  <si>
    <t>Dinding / Partisi</t>
  </si>
  <si>
    <t>Lantai</t>
  </si>
  <si>
    <t>VOLUME SELURUH KOMPONEN</t>
  </si>
  <si>
    <t>Pondasi</t>
  </si>
  <si>
    <t>Kolom</t>
  </si>
  <si>
    <t>Balok</t>
  </si>
  <si>
    <t>BOBOT 
KOMPONEN</t>
  </si>
  <si>
    <t xml:space="preserve">Jendela </t>
  </si>
  <si>
    <t>Finishing Plafond</t>
  </si>
  <si>
    <t>Finishing Kusen &amp; Pintu</t>
  </si>
  <si>
    <t>Plafond</t>
  </si>
  <si>
    <t>TOTAL</t>
  </si>
  <si>
    <t>(9)</t>
  </si>
  <si>
    <t>(10)</t>
  </si>
  <si>
    <t>INDIKASI DAMPAK KERUSAKAN</t>
  </si>
  <si>
    <t>TERHADAP KESELAMATAN</t>
  </si>
  <si>
    <t>TERHADAP KEBERFUNGSIAN</t>
  </si>
  <si>
    <t>Ada kerusakan yang diindikasi membahayakan keselamatan pemanfaatan ruang/bangunan</t>
  </si>
  <si>
    <t>Ada kerusakan, namun diindikasi tidak membahayakan keselamatan pemanfaatan ruang/bangunan</t>
  </si>
  <si>
    <t>Ada kerusakan yang mengakibatkan ruang/bangunan tidak dapat difungsikan</t>
  </si>
  <si>
    <t>Ada kerusakan, namun ruang/bangunan masih dapat difungsikan</t>
  </si>
  <si>
    <t>TAHAP 2 - HITUNG VOLUME KERUSAKAN KOMPONEN BERDASARKAN KLASIFIKASI KERUSAKAN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</si>
  <si>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</si>
  <si>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</si>
  <si>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</si>
  <si>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</si>
  <si>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</si>
  <si>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</si>
  <si>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</si>
  <si>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</si>
  <si>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</si>
  <si>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</si>
  <si>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Tdk Rusak</t>
  </si>
  <si>
    <t>Sangat Ringan</t>
  </si>
  <si>
    <t>Sangat Berat</t>
  </si>
  <si>
    <t>(21)</t>
  </si>
  <si>
    <t>(23)</t>
  </si>
  <si>
    <t>(22)</t>
  </si>
  <si>
    <t>Rusak, dengan Tingkat Kerusakan:</t>
  </si>
  <si>
    <t>(7)</t>
  </si>
  <si>
    <t>KESIMPULAN TINGKAT KERUSAKAN 
MASSA BANGUNAN=</t>
  </si>
  <si>
    <t>PERHITUNGAN TINGKAT KERUSAKAN KOMPONEN</t>
  </si>
  <si>
    <t>TAHAP 1 - PENGAMATAN VISUAL ADA / TDKNYA KERUSAKAN DAN INDIKASI DAMPAK KERUSAKAN TERHADAP KESELAMATAN PEMANFAATAN RUANGAN / BANGUNAN</t>
  </si>
  <si>
    <t>Komponen Tdk Sesuai / Tdk Ada</t>
  </si>
  <si>
    <t>Atap</t>
  </si>
  <si>
    <t>Instalasi Air Bersih</t>
  </si>
  <si>
    <t>Estimasi</t>
  </si>
  <si>
    <t>kerusakan Pondasi</t>
  </si>
  <si>
    <t>Drainase Limbah</t>
  </si>
  <si>
    <t>Unit</t>
  </si>
  <si>
    <t>TINGKAT KERUSAKAN KOMPONEN THD MASSA BANGUNAN</t>
  </si>
  <si>
    <t>Kusen</t>
  </si>
  <si>
    <t>Pondasi &amp; Sloof</t>
  </si>
  <si>
    <t>m1</t>
  </si>
  <si>
    <t>Jaringan listrik dalam kondisi baik</t>
  </si>
  <si>
    <t>Sebagian kecil komponen dari panel-panel LP rusak, ada sedikit jalur kabel instalasi shortage, sebagian kecil armature rusak ringan, sehingga biaya perbaikan kurang dari 10% dari biaya instalasi baru</t>
  </si>
  <si>
    <t>Beberapa komponen dari panel-panel LP rusak, sebagian kecil jalur kabel instalasi shortage, sehingga armature rusak ringan, sehingga biaya perbaikan 10-25% dari biaya instalasi baru</t>
  </si>
  <si>
    <t>Beberapa komponen dari panel-panel LP rusak, sebagian kecil jalur kabel instalasi shortage, sehingga armature rusak berat dan ringan, sehingga biaya perbaikan 25-50% dari biaya instalasi baru</t>
  </si>
  <si>
    <t>Sebagian besar komponen panel-panel LP rusak, sebagian besar kabel instalasi shortage, sebagian besar armature rusak, sehingga biaya perbaikan 50-65 % dari instalasi baru</t>
  </si>
  <si>
    <t>Sebagian besar komponen panel-panel LP rusak, sebagian besar kabel instalasi shortage, seluruh armature rusak berat, sehingga biaya perbaikan lebih dari 65 % dari instalasi baru</t>
  </si>
  <si>
    <t>Material, dimensi, dan konstruksi jaringan listrik diindikasi tidak sesuai dengan persyaratan teknis (merujuk pada Rencana Teknis apabila ada, Petunjuk Teknis, dan/atau SNI)</t>
  </si>
  <si>
    <t>Sistem penyediaan air dalam kondisi baik</t>
  </si>
  <si>
    <t>Kebocoran pipa terbatas ditempat yang terlihat atau mudah dicapai, keran-keran kecil rusak, sehingga biaya perbaikan kurang dari 10% biaya instalasi baru</t>
  </si>
  <si>
    <t>Bagian-bagian kecil pemipaan bocor, motor pompa terbakar, keran-keran kecil rusak, sehingga biaya perbaikan antara 10-25% dari biaya instalasi baru</t>
  </si>
  <si>
    <t>Pompa, motor, pipa, dan keran rusak apabila diganti atau diperbaiki memerlukan biaya antara 25-50% dari biaya instalasi baru</t>
  </si>
  <si>
    <t>Sebagian besar pompa, sebagian besar motor terbakar, pipa utama bocor namun ditempat terbuka, beberapa keran tidak berfungsi, sehingga biaya perbaikan 50-65% dari biaya instalasi baru</t>
  </si>
  <si>
    <t>Pompa –pompa rusak total, motor terbakar, di banyak tempat terbuka dan tutup pipa-pipa bocor keran-keran tidak berfungsi, sehingga perbaikan instalasi perlu menyeluruh, dengan perkiraan biaya lebih dari 65% dari biaya instalasi baru</t>
  </si>
  <si>
    <t>Material, dimensi, dan konstruksi sistem penyediaan air diindikasi tidak sesuai dengan persyaratan teknis (merujuk pada Rencana Teknis apabila ada, Petunjuk Teknis, dan/atau SNI)</t>
  </si>
  <si>
    <t>Pondasi diindikasi dalam kondisi baik</t>
  </si>
  <si>
    <t>Penurunan merata pada seluruh struktur bangunan</t>
  </si>
  <si>
    <t>Penurunan &gt; 1/250 L sehingga menimbulkan kerusakan struktur atasnya. Tanah disekeliling bangunan naik</t>
  </si>
  <si>
    <t>Material, dimensi, dan konstruksi pondasi diindikasi tidak sesuai dengan persyaratan teknis (merujuk pada Rencana Teknis apabila ada, Petunjuk Teknis, dan/atau SNI)</t>
  </si>
  <si>
    <t>TINGKAT KERUSAKAN KOMPONEN THD MASSA BANGUNAN / RUANGAN</t>
  </si>
  <si>
    <t>TOTAL NILAI KERUSAKAN 
MASSA BANGUNAN / RUANGAN=</t>
  </si>
  <si>
    <t>KESIMPULAN TINGKAT KERUSAKAN 
MASSA BANGUNAN / RUANGAN =</t>
  </si>
  <si>
    <t>Membahayakan keselamatan</t>
  </si>
  <si>
    <t>Tidak membahayakan keselamatan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</si>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</sst>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%"/>
  </numFmts>
  <fonts count="45" x14ac:knownFonts="1">
    <font>
      <sz val="10"/>
      <color indexed="8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indexed="8"/>
      <name val="Tahoma"/>
      <family val="2"/>
      <charset val="1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0.5"/>
      <color theme="0"/>
      <name val="Arial"/>
      <family val="2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b/>
      <sz val="10"/>
      <color rgb="FFFF0000"/>
      <name val="Tahoma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indexed="8"/>
      <name val="Calibri"/>
      <family val="2"/>
    </font>
    <font>
      <sz val="9"/>
      <name val="Arial"/>
      <family val="2"/>
    </font>
    <font>
      <i/>
      <sz val="8"/>
      <color rgb="FF000000"/>
      <name val="Arial"/>
      <family val="2"/>
      <charset val="1"/>
    </font>
    <font>
      <i/>
      <sz val="8"/>
      <color theme="1"/>
      <name val="Calibri"/>
      <family val="2"/>
      <charset val="1"/>
      <scheme val="minor"/>
    </font>
    <font>
      <b/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8"/>
      <name val="Arial"/>
      <family val="2"/>
      <charset val="1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9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1D1"/>
        <bgColor indexed="64"/>
      </patternFill>
    </fill>
  </fills>
  <borders count="1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1D1B11"/>
      </bottom>
      <diagonal/>
    </border>
    <border>
      <left/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/>
      <top/>
      <bottom style="thin">
        <color rgb="FF1D1B11"/>
      </bottom>
      <diagonal/>
    </border>
    <border>
      <left/>
      <right/>
      <top/>
      <bottom style="thin">
        <color rgb="FF1D1B11"/>
      </bottom>
      <diagonal/>
    </border>
    <border>
      <left/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/>
      <top style="thin">
        <color rgb="FF1D1B11"/>
      </top>
      <bottom style="thin">
        <color rgb="FF1D1B11"/>
      </bottom>
      <diagonal/>
    </border>
    <border>
      <left/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/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 style="thin">
        <color rgb="FF1D1B11"/>
      </bottom>
      <diagonal/>
    </border>
    <border>
      <left/>
      <right style="medium">
        <color indexed="64"/>
      </right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/>
      <diagonal/>
    </border>
    <border>
      <left/>
      <right style="medium">
        <color indexed="64"/>
      </right>
      <top style="thin">
        <color rgb="FF1D1B1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1D1B11"/>
      </top>
      <bottom style="medium">
        <color indexed="64"/>
      </bottom>
      <diagonal/>
    </border>
    <border>
      <left/>
      <right style="thin">
        <color rgb="FF1D1B11"/>
      </right>
      <top style="thin">
        <color rgb="FF1D1B11"/>
      </top>
      <bottom style="medium">
        <color indexed="64"/>
      </bottom>
      <diagonal/>
    </border>
    <border>
      <left style="thin">
        <color rgb="FF1D1B11"/>
      </left>
      <right/>
      <top style="thin">
        <color rgb="FF1D1B11"/>
      </top>
      <bottom style="medium">
        <color indexed="64"/>
      </bottom>
      <diagonal/>
    </border>
    <border>
      <left/>
      <right/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thin">
        <color rgb="FF1D1B11"/>
      </top>
      <bottom style="medium">
        <color indexed="64"/>
      </bottom>
      <diagonal/>
    </border>
    <border>
      <left style="medium">
        <color indexed="64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/>
      <diagonal/>
    </border>
    <border>
      <left/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/>
      <bottom/>
      <diagonal/>
    </border>
    <border>
      <left style="thin">
        <color rgb="FF1D1B11"/>
      </left>
      <right/>
      <top/>
      <bottom/>
      <diagonal/>
    </border>
    <border>
      <left/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/>
      <diagonal/>
    </border>
    <border>
      <left style="thin">
        <color rgb="FF1D1B11"/>
      </left>
      <right style="thin">
        <color rgb="FF1D1B11"/>
      </right>
      <top style="thin">
        <color rgb="FF1D1B1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</cellStyleXfs>
  <cellXfs count="458">
    <xf numFmtId="0" fontId="0" fillId="0" borderId="0" xfId="0"/>
    <xf numFmtId="0" fontId="2" fillId="0" borderId="0" xfId="3"/>
    <xf numFmtId="0" fontId="4" fillId="0" borderId="1" xfId="3" applyFont="1" applyBorder="1" applyAlignment="1">
      <alignment vertical="center"/>
    </xf>
    <xf numFmtId="0" fontId="4" fillId="0" borderId="2" xfId="3" applyFont="1" applyBorder="1" applyAlignment="1">
      <alignment vertical="center" wrapText="1"/>
    </xf>
    <xf numFmtId="0" fontId="2" fillId="0" borderId="4" xfId="3" applyBorder="1" applyAlignment="1">
      <alignment vertical="top"/>
    </xf>
    <xf numFmtId="0" fontId="2" fillId="0" borderId="5" xfId="3" applyBorder="1" applyAlignment="1">
      <alignment vertical="top"/>
    </xf>
    <xf numFmtId="0" fontId="4" fillId="0" borderId="6" xfId="3" applyFont="1" applyBorder="1" applyAlignment="1">
      <alignment vertical="center"/>
    </xf>
    <xf numFmtId="0" fontId="4" fillId="0" borderId="0" xfId="3" applyFont="1" applyAlignment="1">
      <alignment vertical="center" wrapText="1"/>
    </xf>
    <xf numFmtId="0" fontId="2" fillId="0" borderId="8" xfId="3" applyBorder="1"/>
    <xf numFmtId="0" fontId="2" fillId="0" borderId="9" xfId="3" applyBorder="1"/>
    <xf numFmtId="0" fontId="2" fillId="0" borderId="10" xfId="3" applyBorder="1" applyAlignment="1">
      <alignment vertical="top"/>
    </xf>
    <xf numFmtId="0" fontId="2" fillId="0" borderId="11" xfId="3" applyBorder="1" applyAlignment="1">
      <alignment vertical="top"/>
    </xf>
    <xf numFmtId="0" fontId="4" fillId="0" borderId="12" xfId="3" applyFont="1" applyBorder="1" applyAlignment="1">
      <alignment vertical="center"/>
    </xf>
    <xf numFmtId="0" fontId="4" fillId="0" borderId="13" xfId="3" applyFont="1" applyBorder="1" applyAlignment="1">
      <alignment vertical="center" wrapText="1"/>
    </xf>
    <xf numFmtId="0" fontId="2" fillId="0" borderId="15" xfId="3" applyBorder="1"/>
    <xf numFmtId="0" fontId="2" fillId="0" borderId="16" xfId="3" applyBorder="1"/>
    <xf numFmtId="0" fontId="5" fillId="0" borderId="19" xfId="3" applyFont="1" applyBorder="1" applyAlignment="1">
      <alignment horizontal="center" vertical="center" readingOrder="1"/>
    </xf>
    <xf numFmtId="0" fontId="5" fillId="0" borderId="24" xfId="3" applyFont="1" applyBorder="1" applyAlignment="1">
      <alignment horizontal="center" vertical="center" readingOrder="1"/>
    </xf>
    <xf numFmtId="0" fontId="6" fillId="0" borderId="29" xfId="3" applyFont="1" applyBorder="1" applyAlignment="1">
      <alignment horizontal="left" wrapText="1" readingOrder="1"/>
    </xf>
    <xf numFmtId="0" fontId="6" fillId="0" borderId="30" xfId="3" applyFont="1" applyBorder="1" applyAlignment="1">
      <alignment horizontal="left" wrapText="1" readingOrder="1"/>
    </xf>
    <xf numFmtId="0" fontId="5" fillId="0" borderId="25" xfId="3" applyFont="1" applyBorder="1" applyAlignment="1">
      <alignment wrapText="1" readingOrder="1"/>
    </xf>
    <xf numFmtId="0" fontId="5" fillId="0" borderId="25" xfId="3" applyFont="1" applyBorder="1" applyAlignment="1">
      <alignment readingOrder="1"/>
    </xf>
    <xf numFmtId="0" fontId="5" fillId="0" borderId="21" xfId="3" applyFont="1" applyBorder="1" applyAlignment="1">
      <alignment wrapText="1" readingOrder="1"/>
    </xf>
    <xf numFmtId="0" fontId="5" fillId="0" borderId="34" xfId="3" applyFont="1" applyBorder="1" applyAlignment="1">
      <alignment horizontal="center" vertical="center" readingOrder="1"/>
    </xf>
    <xf numFmtId="0" fontId="7" fillId="0" borderId="48" xfId="3" applyFont="1" applyBorder="1" applyAlignment="1">
      <alignment horizontal="center" vertical="center" wrapText="1" readingOrder="1"/>
    </xf>
    <xf numFmtId="0" fontId="7" fillId="0" borderId="49" xfId="3" applyFont="1" applyBorder="1" applyAlignment="1">
      <alignment horizontal="center" vertical="center" wrapText="1" readingOrder="1"/>
    </xf>
    <xf numFmtId="0" fontId="7" fillId="0" borderId="45" xfId="3" applyFont="1" applyBorder="1" applyAlignment="1">
      <alignment horizontal="center" vertical="center" wrapText="1" readingOrder="1"/>
    </xf>
    <xf numFmtId="0" fontId="7" fillId="0" borderId="50" xfId="3" applyFont="1" applyBorder="1" applyAlignment="1">
      <alignment horizontal="center" vertical="center" wrapText="1" readingOrder="1"/>
    </xf>
    <xf numFmtId="0" fontId="7" fillId="0" borderId="52" xfId="3" applyFont="1" applyBorder="1" applyAlignment="1">
      <alignment horizontal="center" vertical="center" wrapText="1" readingOrder="1"/>
    </xf>
    <xf numFmtId="0" fontId="7" fillId="0" borderId="53" xfId="3" applyFont="1" applyBorder="1" applyAlignment="1">
      <alignment horizontal="center" vertical="center" wrapText="1" readingOrder="1"/>
    </xf>
    <xf numFmtId="0" fontId="8" fillId="0" borderId="54" xfId="3" quotePrefix="1" applyFont="1" applyBorder="1" applyAlignment="1">
      <alignment horizontal="center" vertical="center" wrapText="1" readingOrder="1"/>
    </xf>
    <xf numFmtId="0" fontId="8" fillId="0" borderId="55" xfId="3" quotePrefix="1" applyFont="1" applyBorder="1" applyAlignment="1">
      <alignment horizontal="center" vertical="center" wrapText="1" readingOrder="1"/>
    </xf>
    <xf numFmtId="0" fontId="8" fillId="0" borderId="56" xfId="3" applyFont="1" applyBorder="1" applyAlignment="1">
      <alignment horizontal="center" vertical="center" wrapText="1" readingOrder="1"/>
    </xf>
    <xf numFmtId="0" fontId="8" fillId="0" borderId="54" xfId="3" applyFont="1" applyBorder="1" applyAlignment="1">
      <alignment horizontal="center" vertical="center" wrapText="1" readingOrder="1"/>
    </xf>
    <xf numFmtId="0" fontId="8" fillId="0" borderId="55" xfId="3" applyFont="1" applyBorder="1" applyAlignment="1">
      <alignment horizontal="left" vertical="center" wrapText="1" readingOrder="1"/>
    </xf>
    <xf numFmtId="0" fontId="8" fillId="0" borderId="55" xfId="3" applyFont="1" applyBorder="1" applyAlignment="1">
      <alignment horizontal="left" vertical="center" readingOrder="1"/>
    </xf>
    <xf numFmtId="2" fontId="8" fillId="2" borderId="55" xfId="3" applyNumberFormat="1" applyFont="1" applyFill="1" applyBorder="1" applyAlignment="1">
      <alignment horizontal="center" vertical="center" readingOrder="1"/>
    </xf>
    <xf numFmtId="0" fontId="10" fillId="0" borderId="7" xfId="2" applyNumberFormat="1" applyFont="1" applyBorder="1" applyAlignment="1">
      <alignment horizontal="center" vertical="center"/>
    </xf>
    <xf numFmtId="2" fontId="11" fillId="0" borderId="23" xfId="3" applyNumberFormat="1" applyFont="1" applyBorder="1" applyAlignment="1">
      <alignment horizontal="center" vertical="center" readingOrder="1"/>
    </xf>
    <xf numFmtId="2" fontId="11" fillId="0" borderId="56" xfId="3" applyNumberFormat="1" applyFont="1" applyBorder="1" applyAlignment="1">
      <alignment horizontal="center" vertical="center" readingOrder="1"/>
    </xf>
    <xf numFmtId="0" fontId="8" fillId="0" borderId="57" xfId="3" applyFont="1" applyBorder="1" applyAlignment="1">
      <alignment horizontal="center" vertical="center" wrapText="1" readingOrder="1"/>
    </xf>
    <xf numFmtId="0" fontId="8" fillId="0" borderId="58" xfId="3" applyFont="1" applyBorder="1" applyAlignment="1">
      <alignment horizontal="left" vertical="center" wrapText="1" readingOrder="1"/>
    </xf>
    <xf numFmtId="0" fontId="12" fillId="0" borderId="55" xfId="3" applyFont="1" applyBorder="1" applyAlignment="1">
      <alignment horizontal="left" vertical="center" wrapText="1" readingOrder="1"/>
    </xf>
    <xf numFmtId="2" fontId="12" fillId="2" borderId="55" xfId="3" applyNumberFormat="1" applyFont="1" applyFill="1" applyBorder="1" applyAlignment="1">
      <alignment horizontal="center" vertical="center" readingOrder="1"/>
    </xf>
    <xf numFmtId="0" fontId="5" fillId="0" borderId="57" xfId="3" applyFont="1" applyBorder="1" applyAlignment="1">
      <alignment horizontal="center" vertical="center" wrapText="1" readingOrder="1"/>
    </xf>
    <xf numFmtId="0" fontId="5" fillId="0" borderId="58" xfId="3" applyFont="1" applyBorder="1" applyAlignment="1">
      <alignment horizontal="left" vertical="center" wrapText="1" readingOrder="1"/>
    </xf>
    <xf numFmtId="0" fontId="5" fillId="0" borderId="55" xfId="3" applyFont="1" applyBorder="1" applyAlignment="1">
      <alignment horizontal="left" vertical="center" readingOrder="1"/>
    </xf>
    <xf numFmtId="0" fontId="5" fillId="0" borderId="55" xfId="3" applyFont="1" applyBorder="1" applyAlignment="1">
      <alignment horizontal="left" vertical="center" wrapText="1" readingOrder="1"/>
    </xf>
    <xf numFmtId="2" fontId="5" fillId="0" borderId="55" xfId="3" applyNumberFormat="1" applyFont="1" applyBorder="1" applyAlignment="1">
      <alignment horizontal="center" vertical="center" readingOrder="1"/>
    </xf>
    <xf numFmtId="0" fontId="5" fillId="0" borderId="51" xfId="3" applyFont="1" applyBorder="1" applyAlignment="1">
      <alignment horizontal="center" vertical="center" wrapText="1" readingOrder="1"/>
    </xf>
    <xf numFmtId="0" fontId="5" fillId="0" borderId="52" xfId="3" applyFont="1" applyBorder="1" applyAlignment="1">
      <alignment horizontal="left" vertical="center" wrapText="1" readingOrder="1"/>
    </xf>
    <xf numFmtId="0" fontId="13" fillId="0" borderId="44" xfId="3" applyFont="1" applyBorder="1" applyAlignment="1">
      <alignment horizontal="center" vertical="center" wrapText="1" readingOrder="1"/>
    </xf>
    <xf numFmtId="0" fontId="14" fillId="0" borderId="45" xfId="3" applyFont="1" applyBorder="1" applyAlignment="1">
      <alignment horizontal="left" vertical="center" wrapText="1" readingOrder="1"/>
    </xf>
    <xf numFmtId="0" fontId="13" fillId="0" borderId="51" xfId="3" applyFont="1" applyBorder="1" applyAlignment="1">
      <alignment horizontal="center" vertical="center" wrapText="1" readingOrder="1"/>
    </xf>
    <xf numFmtId="0" fontId="14" fillId="0" borderId="52" xfId="3" applyFont="1" applyBorder="1" applyAlignment="1">
      <alignment horizontal="left" vertical="center" wrapText="1" readingOrder="1"/>
    </xf>
    <xf numFmtId="0" fontId="5" fillId="0" borderId="54" xfId="3" applyFont="1" applyBorder="1" applyAlignment="1">
      <alignment horizontal="center" vertical="center" wrapText="1" readingOrder="1"/>
    </xf>
    <xf numFmtId="0" fontId="13" fillId="0" borderId="45" xfId="3" applyFont="1" applyBorder="1" applyAlignment="1">
      <alignment horizontal="left" vertical="center" wrapText="1" readingOrder="1"/>
    </xf>
    <xf numFmtId="0" fontId="13" fillId="0" borderId="52" xfId="3" applyFont="1" applyBorder="1" applyAlignment="1">
      <alignment horizontal="left" vertical="center" wrapText="1" readingOrder="1"/>
    </xf>
    <xf numFmtId="0" fontId="15" fillId="0" borderId="44" xfId="3" applyFont="1" applyBorder="1" applyAlignment="1">
      <alignment horizontal="center" vertical="center" wrapText="1" readingOrder="1"/>
    </xf>
    <xf numFmtId="0" fontId="5" fillId="0" borderId="45" xfId="3" applyFont="1" applyBorder="1" applyAlignment="1">
      <alignment horizontal="left" vertical="center" wrapText="1" readingOrder="1"/>
    </xf>
    <xf numFmtId="0" fontId="15" fillId="0" borderId="44" xfId="3" applyFont="1" applyBorder="1" applyAlignment="1">
      <alignment horizontal="left" vertical="center" wrapText="1" readingOrder="1"/>
    </xf>
    <xf numFmtId="0" fontId="15" fillId="0" borderId="45" xfId="3" applyFont="1" applyBorder="1" applyAlignment="1">
      <alignment horizontal="left" vertical="center" wrapText="1" readingOrder="1"/>
    </xf>
    <xf numFmtId="0" fontId="15" fillId="0" borderId="51" xfId="3" applyFont="1" applyBorder="1" applyAlignment="1">
      <alignment horizontal="left" vertical="center" wrapText="1" readingOrder="1"/>
    </xf>
    <xf numFmtId="0" fontId="15" fillId="0" borderId="52" xfId="3" applyFont="1" applyBorder="1" applyAlignment="1">
      <alignment horizontal="left" vertical="center" wrapText="1" readingOrder="1"/>
    </xf>
    <xf numFmtId="0" fontId="15" fillId="0" borderId="22" xfId="3" applyFont="1" applyBorder="1" applyAlignment="1">
      <alignment horizontal="left" vertical="center" wrapText="1" readingOrder="1"/>
    </xf>
    <xf numFmtId="0" fontId="15" fillId="0" borderId="23" xfId="3" applyFont="1" applyBorder="1" applyAlignment="1">
      <alignment horizontal="left" vertical="center" wrapText="1" readingOrder="1"/>
    </xf>
    <xf numFmtId="2" fontId="16" fillId="3" borderId="55" xfId="3" applyNumberFormat="1" applyFont="1" applyFill="1" applyBorder="1" applyAlignment="1">
      <alignment horizontal="center" vertical="center" readingOrder="1"/>
    </xf>
    <xf numFmtId="0" fontId="16" fillId="3" borderId="55" xfId="3" applyFont="1" applyFill="1" applyBorder="1" applyAlignment="1">
      <alignment horizontal="left" vertical="center" wrapText="1" readingOrder="1"/>
    </xf>
    <xf numFmtId="2" fontId="17" fillId="0" borderId="59" xfId="0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left" vertical="center" wrapText="1" readingOrder="1"/>
    </xf>
    <xf numFmtId="0" fontId="15" fillId="0" borderId="33" xfId="3" applyFont="1" applyBorder="1" applyAlignment="1">
      <alignment horizontal="left" vertical="center" wrapText="1" readingOrder="1"/>
    </xf>
    <xf numFmtId="2" fontId="18" fillId="0" borderId="60" xfId="3" applyNumberFormat="1" applyFont="1" applyBorder="1" applyAlignment="1">
      <alignment horizontal="center" vertical="center" readingOrder="1"/>
    </xf>
    <xf numFmtId="0" fontId="19" fillId="0" borderId="0" xfId="3" applyFont="1" applyAlignment="1">
      <alignment vertical="top"/>
    </xf>
    <xf numFmtId="0" fontId="12" fillId="0" borderId="0" xfId="3" applyFont="1"/>
    <xf numFmtId="0" fontId="21" fillId="0" borderId="0" xfId="3" applyFont="1" applyAlignment="1">
      <alignment wrapText="1"/>
    </xf>
    <xf numFmtId="0" fontId="8" fillId="0" borderId="0" xfId="3" applyFont="1" applyAlignment="1">
      <alignment wrapText="1"/>
    </xf>
    <xf numFmtId="0" fontId="22" fillId="0" borderId="0" xfId="3" applyFont="1" applyAlignment="1">
      <alignment vertical="top" readingOrder="1"/>
    </xf>
    <xf numFmtId="0" fontId="21" fillId="0" borderId="0" xfId="3" applyFont="1" applyAlignment="1">
      <alignment horizontal="left" wrapText="1" readingOrder="1"/>
    </xf>
    <xf numFmtId="0" fontId="26" fillId="4" borderId="66" xfId="3" applyFont="1" applyFill="1" applyBorder="1" applyAlignment="1">
      <alignment horizontal="center" vertical="center" wrapText="1" readingOrder="1"/>
    </xf>
    <xf numFmtId="0" fontId="26" fillId="4" borderId="67" xfId="3" applyFont="1" applyFill="1" applyBorder="1" applyAlignment="1">
      <alignment horizontal="left" vertical="center" wrapText="1" readingOrder="1"/>
    </xf>
    <xf numFmtId="0" fontId="2" fillId="0" borderId="0" xfId="3" applyAlignment="1">
      <alignment vertical="center"/>
    </xf>
    <xf numFmtId="0" fontId="26" fillId="4" borderId="70" xfId="3" applyFont="1" applyFill="1" applyBorder="1" applyAlignment="1">
      <alignment horizontal="center" vertical="center" wrapText="1" readingOrder="1"/>
    </xf>
    <xf numFmtId="0" fontId="26" fillId="4" borderId="69" xfId="3" applyFont="1" applyFill="1" applyBorder="1" applyAlignment="1">
      <alignment horizontal="left" vertical="center" wrapText="1" readingOrder="1"/>
    </xf>
    <xf numFmtId="0" fontId="26" fillId="4" borderId="6" xfId="3" applyFont="1" applyFill="1" applyBorder="1" applyAlignment="1">
      <alignment horizontal="center" vertical="center" wrapText="1" readingOrder="1"/>
    </xf>
    <xf numFmtId="0" fontId="26" fillId="4" borderId="0" xfId="3" applyFont="1" applyFill="1" applyAlignment="1">
      <alignment horizontal="left" vertical="center" wrapText="1" readingOrder="1"/>
    </xf>
    <xf numFmtId="0" fontId="26" fillId="4" borderId="64" xfId="3" applyFont="1" applyFill="1" applyBorder="1" applyAlignment="1">
      <alignment horizontal="center" vertical="center" readingOrder="1"/>
    </xf>
    <xf numFmtId="0" fontId="26" fillId="4" borderId="63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vertical="center" readingOrder="1"/>
    </xf>
    <xf numFmtId="0" fontId="27" fillId="0" borderId="0" xfId="3" applyFont="1" applyAlignment="1">
      <alignment horizontal="center"/>
    </xf>
    <xf numFmtId="0" fontId="2" fillId="4" borderId="0" xfId="3" applyFill="1"/>
    <xf numFmtId="0" fontId="27" fillId="4" borderId="0" xfId="3" applyFont="1" applyFill="1" applyAlignment="1">
      <alignment horizontal="center"/>
    </xf>
    <xf numFmtId="0" fontId="2" fillId="4" borderId="0" xfId="3" applyFill="1" applyAlignment="1">
      <alignment horizontal="right"/>
    </xf>
    <xf numFmtId="0" fontId="27" fillId="4" borderId="0" xfId="3" applyFont="1" applyFill="1" applyAlignment="1">
      <alignment horizontal="right"/>
    </xf>
    <xf numFmtId="0" fontId="2" fillId="4" borderId="0" xfId="3" applyFill="1" applyAlignment="1">
      <alignment horizontal="center"/>
    </xf>
    <xf numFmtId="0" fontId="26" fillId="4" borderId="0" xfId="3" applyFont="1" applyFill="1" applyAlignment="1">
      <alignment horizontal="center" vertical="center" readingOrder="1"/>
    </xf>
    <xf numFmtId="0" fontId="27" fillId="4" borderId="0" xfId="3" applyFont="1" applyFill="1"/>
    <xf numFmtId="0" fontId="26" fillId="4" borderId="0" xfId="3" applyFont="1" applyFill="1" applyAlignment="1">
      <alignment horizontal="center" wrapText="1" readingOrder="1"/>
    </xf>
    <xf numFmtId="0" fontId="26" fillId="4" borderId="0" xfId="3" applyFont="1" applyFill="1" applyAlignment="1">
      <alignment wrapText="1" readingOrder="1"/>
    </xf>
    <xf numFmtId="0" fontId="26" fillId="4" borderId="0" xfId="3" applyFont="1" applyFill="1" applyAlignment="1">
      <alignment readingOrder="1"/>
    </xf>
    <xf numFmtId="0" fontId="22" fillId="4" borderId="0" xfId="3" applyFont="1" applyFill="1" applyAlignment="1">
      <alignment vertical="top" readingOrder="1"/>
    </xf>
    <xf numFmtId="9" fontId="2" fillId="4" borderId="0" xfId="3" applyNumberFormat="1" applyFill="1" applyAlignment="1">
      <alignment horizontal="center"/>
    </xf>
    <xf numFmtId="0" fontId="27" fillId="4" borderId="0" xfId="3" quotePrefix="1" applyFont="1" applyFill="1" applyAlignment="1">
      <alignment wrapText="1"/>
    </xf>
    <xf numFmtId="0" fontId="27" fillId="4" borderId="0" xfId="3" quotePrefix="1" applyFont="1" applyFill="1" applyAlignment="1">
      <alignment vertical="center" wrapText="1"/>
    </xf>
    <xf numFmtId="0" fontId="12" fillId="4" borderId="0" xfId="3" applyFont="1" applyFill="1"/>
    <xf numFmtId="0" fontId="8" fillId="4" borderId="0" xfId="3" applyFont="1" applyFill="1" applyAlignment="1">
      <alignment wrapText="1"/>
    </xf>
    <xf numFmtId="0" fontId="26" fillId="6" borderId="0" xfId="3" applyFont="1" applyFill="1" applyAlignment="1" applyProtection="1">
      <alignment readingOrder="1"/>
      <protection locked="0"/>
    </xf>
    <xf numFmtId="0" fontId="31" fillId="0" borderId="0" xfId="0" applyFont="1"/>
    <xf numFmtId="0" fontId="3" fillId="4" borderId="0" xfId="3" applyFont="1" applyFill="1"/>
    <xf numFmtId="0" fontId="2" fillId="0" borderId="0" xfId="3" applyAlignment="1">
      <alignment horizontal="center" vertical="center"/>
    </xf>
    <xf numFmtId="165" fontId="2" fillId="0" borderId="0" xfId="3" applyNumberFormat="1"/>
    <xf numFmtId="0" fontId="0" fillId="0" borderId="7" xfId="0" applyBorder="1" applyAlignment="1">
      <alignment horizontal="center" vertical="top"/>
    </xf>
    <xf numFmtId="0" fontId="0" fillId="0" borderId="7" xfId="0" quotePrefix="1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/>
    </xf>
    <xf numFmtId="0" fontId="32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top" wrapText="1"/>
    </xf>
    <xf numFmtId="0" fontId="26" fillId="4" borderId="71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wrapText="1" readingOrder="1"/>
    </xf>
    <xf numFmtId="0" fontId="26" fillId="6" borderId="0" xfId="3" applyFont="1" applyFill="1" applyAlignment="1" applyProtection="1">
      <alignment horizontal="left" wrapText="1" readingOrder="1"/>
      <protection locked="0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6" fillId="4" borderId="0" xfId="3" applyFont="1" applyFill="1" applyAlignment="1">
      <alignment horizontal="center" vertical="center" wrapText="1" readingOrder="1"/>
    </xf>
    <xf numFmtId="0" fontId="19" fillId="4" borderId="0" xfId="3" applyFont="1" applyFill="1" applyAlignment="1">
      <alignment horizontal="center" vertical="top"/>
    </xf>
    <xf numFmtId="0" fontId="2" fillId="0" borderId="0" xfId="3" applyAlignment="1">
      <alignment horizontal="center"/>
    </xf>
    <xf numFmtId="0" fontId="12" fillId="4" borderId="0" xfId="3" applyFont="1" applyFill="1" applyAlignment="1">
      <alignment horizontal="center"/>
    </xf>
    <xf numFmtId="0" fontId="30" fillId="4" borderId="0" xfId="3" applyFont="1" applyFill="1" applyAlignment="1">
      <alignment horizontal="left"/>
    </xf>
    <xf numFmtId="0" fontId="26" fillId="4" borderId="0" xfId="3" quotePrefix="1" applyFont="1" applyFill="1" applyAlignment="1">
      <alignment wrapText="1" readingOrder="1"/>
    </xf>
    <xf numFmtId="2" fontId="29" fillId="6" borderId="64" xfId="3" applyNumberFormat="1" applyFont="1" applyFill="1" applyBorder="1" applyAlignment="1" applyProtection="1">
      <alignment horizontal="center" vertical="center" readingOrder="1"/>
      <protection locked="0"/>
    </xf>
    <xf numFmtId="0" fontId="1" fillId="4" borderId="0" xfId="3" applyFont="1" applyFill="1" applyAlignment="1">
      <alignment horizontal="center"/>
    </xf>
    <xf numFmtId="0" fontId="1" fillId="4" borderId="0" xfId="3" applyFont="1" applyFill="1"/>
    <xf numFmtId="0" fontId="8" fillId="0" borderId="80" xfId="0" applyFont="1" applyBorder="1"/>
    <xf numFmtId="0" fontId="8" fillId="0" borderId="81" xfId="0" applyFont="1" applyBorder="1"/>
    <xf numFmtId="0" fontId="8" fillId="0" borderId="82" xfId="0" applyFont="1" applyBorder="1"/>
    <xf numFmtId="0" fontId="2" fillId="0" borderId="83" xfId="3" applyBorder="1"/>
    <xf numFmtId="0" fontId="8" fillId="0" borderId="84" xfId="0" applyFont="1" applyBorder="1"/>
    <xf numFmtId="0" fontId="22" fillId="4" borderId="0" xfId="3" applyFont="1" applyFill="1" applyAlignment="1" applyProtection="1">
      <alignment vertical="center" readingOrder="1"/>
      <protection locked="0"/>
    </xf>
    <xf numFmtId="0" fontId="22" fillId="4" borderId="0" xfId="3" applyFont="1" applyFill="1" applyAlignment="1" applyProtection="1">
      <alignment vertical="top" readingOrder="1"/>
      <protection locked="0"/>
    </xf>
    <xf numFmtId="0" fontId="2" fillId="4" borderId="0" xfId="3" applyFill="1" applyProtection="1">
      <protection locked="0"/>
    </xf>
    <xf numFmtId="0" fontId="26" fillId="4" borderId="65" xfId="3" applyFont="1" applyFill="1" applyBorder="1" applyAlignment="1">
      <alignment horizontal="left" vertical="center" readingOrder="1"/>
    </xf>
    <xf numFmtId="0" fontId="29" fillId="4" borderId="71" xfId="3" applyFont="1" applyFill="1" applyBorder="1" applyAlignment="1">
      <alignment horizontal="center" vertical="center"/>
    </xf>
    <xf numFmtId="0" fontId="29" fillId="4" borderId="64" xfId="3" applyFont="1" applyFill="1" applyBorder="1" applyAlignment="1">
      <alignment horizontal="center" vertical="center"/>
    </xf>
    <xf numFmtId="0" fontId="29" fillId="4" borderId="74" xfId="3" applyFont="1" applyFill="1" applyBorder="1" applyAlignment="1">
      <alignment horizontal="center"/>
    </xf>
    <xf numFmtId="0" fontId="29" fillId="4" borderId="70" xfId="3" applyFont="1" applyFill="1" applyBorder="1" applyAlignment="1">
      <alignment horizontal="center" vertical="center"/>
    </xf>
    <xf numFmtId="0" fontId="29" fillId="4" borderId="73" xfId="3" applyFont="1" applyFill="1" applyBorder="1" applyAlignment="1">
      <alignment horizontal="center"/>
    </xf>
    <xf numFmtId="0" fontId="29" fillId="4" borderId="74" xfId="3" applyFont="1" applyFill="1" applyBorder="1"/>
    <xf numFmtId="0" fontId="29" fillId="4" borderId="6" xfId="3" applyFont="1" applyFill="1" applyBorder="1" applyAlignment="1">
      <alignment horizontal="center" vertical="center"/>
    </xf>
    <xf numFmtId="0" fontId="29" fillId="4" borderId="63" xfId="3" applyFont="1" applyFill="1" applyBorder="1" applyAlignment="1">
      <alignment horizontal="center" vertical="center"/>
    </xf>
    <xf numFmtId="0" fontId="29" fillId="4" borderId="65" xfId="3" applyFont="1" applyFill="1" applyBorder="1" applyAlignment="1">
      <alignment horizontal="center" vertical="center"/>
    </xf>
    <xf numFmtId="0" fontId="34" fillId="4" borderId="76" xfId="3" quotePrefix="1" applyFont="1" applyFill="1" applyBorder="1" applyAlignment="1">
      <alignment horizontal="center" vertical="center" wrapText="1" readingOrder="1"/>
    </xf>
    <xf numFmtId="0" fontId="34" fillId="4" borderId="30" xfId="3" quotePrefix="1" applyFont="1" applyFill="1" applyBorder="1" applyAlignment="1">
      <alignment horizontal="center" vertical="center" wrapText="1" readingOrder="1"/>
    </xf>
    <xf numFmtId="0" fontId="34" fillId="4" borderId="30" xfId="3" quotePrefix="1" applyFont="1" applyFill="1" applyBorder="1" applyAlignment="1">
      <alignment horizontal="center" vertical="center" readingOrder="1"/>
    </xf>
    <xf numFmtId="0" fontId="35" fillId="0" borderId="0" xfId="3" applyFont="1" applyAlignment="1">
      <alignment horizontal="center" vertical="center"/>
    </xf>
    <xf numFmtId="10" fontId="36" fillId="5" borderId="75" xfId="3" applyNumberFormat="1" applyFont="1" applyFill="1" applyBorder="1" applyAlignment="1">
      <alignment horizontal="center" vertical="center"/>
    </xf>
    <xf numFmtId="10" fontId="2" fillId="0" borderId="0" xfId="2" applyNumberFormat="1" applyFont="1" applyAlignment="1" applyProtection="1">
      <alignment horizontal="center"/>
      <protection hidden="1"/>
    </xf>
    <xf numFmtId="0" fontId="20" fillId="4" borderId="2" xfId="3" applyFont="1" applyFill="1" applyBorder="1" applyAlignment="1">
      <alignment vertical="top" readingOrder="1"/>
    </xf>
    <xf numFmtId="0" fontId="20" fillId="4" borderId="0" xfId="3" applyFont="1" applyFill="1" applyAlignment="1">
      <alignment vertical="top" readingOrder="1"/>
    </xf>
    <xf numFmtId="0" fontId="20" fillId="4" borderId="13" xfId="3" applyFont="1" applyFill="1" applyBorder="1" applyAlignment="1">
      <alignment vertical="top" readingOrder="1"/>
    </xf>
    <xf numFmtId="0" fontId="2" fillId="4" borderId="61" xfId="3" applyFill="1" applyBorder="1"/>
    <xf numFmtId="0" fontId="2" fillId="4" borderId="59" xfId="3" applyFill="1" applyBorder="1"/>
    <xf numFmtId="0" fontId="2" fillId="4" borderId="62" xfId="3" applyFill="1" applyBorder="1"/>
    <xf numFmtId="0" fontId="26" fillId="4" borderId="72" xfId="3" applyFont="1" applyFill="1" applyBorder="1" applyAlignment="1">
      <alignment horizontal="left" vertical="center" readingOrder="1"/>
    </xf>
    <xf numFmtId="0" fontId="27" fillId="4" borderId="0" xfId="3" applyFont="1" applyFill="1" applyAlignment="1">
      <alignment vertical="center"/>
    </xf>
    <xf numFmtId="2" fontId="38" fillId="4" borderId="7" xfId="3" applyNumberFormat="1" applyFont="1" applyFill="1" applyBorder="1" applyAlignment="1">
      <alignment horizontal="center" vertical="center" wrapText="1" readingOrder="1"/>
    </xf>
    <xf numFmtId="3" fontId="33" fillId="6" borderId="96" xfId="1" applyNumberFormat="1" applyFont="1" applyFill="1" applyBorder="1" applyAlignment="1" applyProtection="1">
      <alignment horizontal="center" vertical="center"/>
      <protection locked="0"/>
    </xf>
    <xf numFmtId="4" fontId="33" fillId="6" borderId="96" xfId="1" applyNumberFormat="1" applyFont="1" applyFill="1" applyBorder="1" applyAlignment="1" applyProtection="1">
      <alignment horizontal="center" vertical="center"/>
      <protection locked="0"/>
    </xf>
    <xf numFmtId="9" fontId="33" fillId="6" borderId="96" xfId="2" applyFont="1" applyFill="1" applyBorder="1" applyAlignment="1" applyProtection="1">
      <alignment horizontal="center" vertical="center"/>
      <protection locked="0"/>
    </xf>
    <xf numFmtId="3" fontId="33" fillId="6" borderId="98" xfId="1" applyNumberFormat="1" applyFont="1" applyFill="1" applyBorder="1" applyAlignment="1" applyProtection="1">
      <alignment horizontal="center" vertical="center"/>
      <protection locked="0"/>
    </xf>
    <xf numFmtId="0" fontId="27" fillId="0" borderId="0" xfId="3" applyFont="1" applyAlignment="1">
      <alignment horizontal="left"/>
    </xf>
    <xf numFmtId="0" fontId="29" fillId="6" borderId="65" xfId="3" applyFont="1" applyFill="1" applyBorder="1" applyAlignment="1" applyProtection="1">
      <alignment horizontal="center" vertical="center"/>
      <protection locked="0"/>
    </xf>
    <xf numFmtId="0" fontId="29" fillId="4" borderId="64" xfId="3" quotePrefix="1" applyFont="1" applyFill="1" applyBorder="1" applyAlignment="1">
      <alignment horizontal="center" vertical="center"/>
    </xf>
    <xf numFmtId="0" fontId="29" fillId="4" borderId="63" xfId="3" quotePrefix="1" applyFont="1" applyFill="1" applyBorder="1" applyAlignment="1">
      <alignment horizontal="center" vertical="center"/>
    </xf>
    <xf numFmtId="0" fontId="29" fillId="4" borderId="65" xfId="3" quotePrefix="1" applyFont="1" applyFill="1" applyBorder="1" applyAlignment="1">
      <alignment horizontal="center" vertical="center"/>
    </xf>
    <xf numFmtId="0" fontId="29" fillId="4" borderId="66" xfId="3" applyFont="1" applyFill="1" applyBorder="1" applyAlignment="1">
      <alignment horizontal="center" vertical="center"/>
    </xf>
    <xf numFmtId="10" fontId="33" fillId="5" borderId="90" xfId="2" applyNumberFormat="1" applyFont="1" applyFill="1" applyBorder="1" applyAlignment="1" applyProtection="1">
      <alignment horizontal="center" vertical="center"/>
      <protection hidden="1"/>
    </xf>
    <xf numFmtId="10" fontId="33" fillId="5" borderId="91" xfId="2" applyNumberFormat="1" applyFont="1" applyFill="1" applyBorder="1" applyAlignment="1" applyProtection="1">
      <alignment horizontal="center" vertical="center"/>
      <protection hidden="1"/>
    </xf>
    <xf numFmtId="0" fontId="37" fillId="4" borderId="88" xfId="3" quotePrefix="1" applyFont="1" applyFill="1" applyBorder="1" applyAlignment="1">
      <alignment horizontal="center" vertical="center" wrapText="1" readingOrder="1"/>
    </xf>
    <xf numFmtId="0" fontId="40" fillId="7" borderId="85" xfId="3" applyFont="1" applyFill="1" applyBorder="1" applyAlignment="1">
      <alignment horizontal="center" vertical="center" wrapText="1"/>
    </xf>
    <xf numFmtId="0" fontId="36" fillId="4" borderId="103" xfId="3" applyFont="1" applyFill="1" applyBorder="1" applyAlignment="1">
      <alignment horizontal="center" vertical="center" wrapText="1" readingOrder="1"/>
    </xf>
    <xf numFmtId="0" fontId="36" fillId="4" borderId="104" xfId="3" applyFont="1" applyFill="1" applyBorder="1" applyAlignment="1">
      <alignment horizontal="center" vertical="center" wrapText="1" readingOrder="1"/>
    </xf>
    <xf numFmtId="0" fontId="36" fillId="4" borderId="102" xfId="3" applyFont="1" applyFill="1" applyBorder="1" applyAlignment="1">
      <alignment horizontal="center" vertical="center" wrapText="1" readingOrder="1"/>
    </xf>
    <xf numFmtId="2" fontId="38" fillId="4" borderId="92" xfId="3" applyNumberFormat="1" applyFont="1" applyFill="1" applyBorder="1" applyAlignment="1">
      <alignment horizontal="center" vertical="center" wrapText="1" readingOrder="1"/>
    </xf>
    <xf numFmtId="2" fontId="0" fillId="0" borderId="0" xfId="0" applyNumberFormat="1"/>
    <xf numFmtId="0" fontId="36" fillId="4" borderId="106" xfId="3" applyFont="1" applyFill="1" applyBorder="1" applyAlignment="1">
      <alignment horizontal="center" vertical="center" wrapText="1" readingOrder="1"/>
    </xf>
    <xf numFmtId="0" fontId="36" fillId="4" borderId="8" xfId="3" applyFont="1" applyFill="1" applyBorder="1" applyAlignment="1">
      <alignment horizontal="center" vertical="center" wrapText="1" readingOrder="1"/>
    </xf>
    <xf numFmtId="0" fontId="36" fillId="4" borderId="107" xfId="3" applyFont="1" applyFill="1" applyBorder="1" applyAlignment="1">
      <alignment horizontal="center" vertical="center" wrapText="1" readingOrder="1"/>
    </xf>
    <xf numFmtId="0" fontId="36" fillId="4" borderId="7" xfId="3" applyFont="1" applyFill="1" applyBorder="1" applyAlignment="1">
      <alignment horizontal="center" vertical="center" wrapText="1" readingOrder="1"/>
    </xf>
    <xf numFmtId="4" fontId="33" fillId="6" borderId="108" xfId="1" applyNumberFormat="1" applyFont="1" applyFill="1" applyBorder="1" applyAlignment="1" applyProtection="1">
      <alignment horizontal="center" vertical="center"/>
      <protection locked="0"/>
    </xf>
    <xf numFmtId="0" fontId="36" fillId="4" borderId="92" xfId="3" applyFont="1" applyFill="1" applyBorder="1" applyAlignment="1">
      <alignment horizontal="center" vertical="center" wrapText="1" readingOrder="1"/>
    </xf>
    <xf numFmtId="0" fontId="39" fillId="4" borderId="109" xfId="3" quotePrefix="1" applyFont="1" applyFill="1" applyBorder="1" applyAlignment="1">
      <alignment horizontal="center" vertical="center" wrapText="1" readingOrder="1"/>
    </xf>
    <xf numFmtId="0" fontId="39" fillId="4" borderId="14" xfId="3" quotePrefix="1" applyFont="1" applyFill="1" applyBorder="1" applyAlignment="1">
      <alignment horizontal="center" vertical="center" wrapText="1" readingOrder="1"/>
    </xf>
    <xf numFmtId="0" fontId="39" fillId="4" borderId="110" xfId="3" quotePrefix="1" applyFont="1" applyFill="1" applyBorder="1" applyAlignment="1">
      <alignment horizontal="center" vertical="center" wrapText="1" readingOrder="1"/>
    </xf>
    <xf numFmtId="2" fontId="33" fillId="5" borderId="111" xfId="2" applyNumberFormat="1" applyFont="1" applyFill="1" applyBorder="1" applyAlignment="1" applyProtection="1">
      <alignment horizontal="center" vertical="center"/>
      <protection hidden="1"/>
    </xf>
    <xf numFmtId="2" fontId="33" fillId="5" borderId="108" xfId="2" applyNumberFormat="1" applyFont="1" applyFill="1" applyBorder="1" applyAlignment="1" applyProtection="1">
      <alignment horizontal="center" vertical="center"/>
      <protection hidden="1"/>
    </xf>
    <xf numFmtId="0" fontId="37" fillId="4" borderId="14" xfId="3" quotePrefix="1" applyFont="1" applyFill="1" applyBorder="1" applyAlignment="1">
      <alignment horizontal="center" vertical="center" wrapText="1" readingOrder="1"/>
    </xf>
    <xf numFmtId="0" fontId="37" fillId="4" borderId="76" xfId="3" quotePrefix="1" applyFont="1" applyFill="1" applyBorder="1" applyAlignment="1">
      <alignment horizontal="center" vertical="center" wrapText="1" readingOrder="1"/>
    </xf>
    <xf numFmtId="2" fontId="33" fillId="0" borderId="114" xfId="2" applyNumberFormat="1" applyFont="1" applyFill="1" applyBorder="1" applyAlignment="1" applyProtection="1">
      <alignment horizontal="center" vertical="center"/>
      <protection hidden="1"/>
    </xf>
    <xf numFmtId="2" fontId="33" fillId="0" borderId="115" xfId="2" applyNumberFormat="1" applyFont="1" applyFill="1" applyBorder="1" applyAlignment="1" applyProtection="1">
      <alignment horizontal="center" vertical="center"/>
      <protection hidden="1"/>
    </xf>
    <xf numFmtId="0" fontId="39" fillId="4" borderId="116" xfId="3" quotePrefix="1" applyFont="1" applyFill="1" applyBorder="1" applyAlignment="1">
      <alignment horizontal="center" vertical="center" wrapText="1" readingOrder="1"/>
    </xf>
    <xf numFmtId="4" fontId="33" fillId="6" borderId="111" xfId="1" applyNumberFormat="1" applyFont="1" applyFill="1" applyBorder="1" applyAlignment="1" applyProtection="1">
      <alignment horizontal="center" vertical="center"/>
      <protection locked="0"/>
    </xf>
    <xf numFmtId="4" fontId="33" fillId="6" borderId="112" xfId="1" applyNumberFormat="1" applyFont="1" applyFill="1" applyBorder="1" applyAlignment="1" applyProtection="1">
      <alignment horizontal="center" vertical="center"/>
      <protection locked="0"/>
    </xf>
    <xf numFmtId="3" fontId="33" fillId="6" borderId="95" xfId="1" applyNumberFormat="1" applyFont="1" applyFill="1" applyBorder="1" applyAlignment="1" applyProtection="1">
      <alignment horizontal="center" vertical="center"/>
      <protection locked="0"/>
    </xf>
    <xf numFmtId="3" fontId="33" fillId="6" borderId="117" xfId="1" applyNumberFormat="1" applyFont="1" applyFill="1" applyBorder="1" applyAlignment="1" applyProtection="1">
      <alignment horizontal="center" vertical="center"/>
      <protection locked="0"/>
    </xf>
    <xf numFmtId="4" fontId="33" fillId="6" borderId="95" xfId="1" applyNumberFormat="1" applyFont="1" applyFill="1" applyBorder="1" applyAlignment="1" applyProtection="1">
      <alignment horizontal="center" vertical="center"/>
      <protection locked="0"/>
    </xf>
    <xf numFmtId="4" fontId="33" fillId="6" borderId="117" xfId="1" applyNumberFormat="1" applyFont="1" applyFill="1" applyBorder="1" applyAlignment="1" applyProtection="1">
      <alignment horizontal="center" vertical="center"/>
      <protection locked="0"/>
    </xf>
    <xf numFmtId="9" fontId="33" fillId="6" borderId="95" xfId="2" applyFont="1" applyFill="1" applyBorder="1" applyAlignment="1" applyProtection="1">
      <alignment horizontal="center" vertical="center"/>
      <protection locked="0"/>
    </xf>
    <xf numFmtId="9" fontId="33" fillId="6" borderId="117" xfId="2" applyFont="1" applyFill="1" applyBorder="1" applyAlignment="1" applyProtection="1">
      <alignment horizontal="center" vertical="center"/>
      <protection locked="0"/>
    </xf>
    <xf numFmtId="3" fontId="33" fillId="6" borderId="97" xfId="1" applyNumberFormat="1" applyFont="1" applyFill="1" applyBorder="1" applyAlignment="1" applyProtection="1">
      <alignment horizontal="center" vertical="center"/>
      <protection locked="0"/>
    </xf>
    <xf numFmtId="3" fontId="33" fillId="6" borderId="119" xfId="1" applyNumberFormat="1" applyFont="1" applyFill="1" applyBorder="1" applyAlignment="1" applyProtection="1">
      <alignment horizontal="center" vertical="center"/>
      <protection locked="0"/>
    </xf>
    <xf numFmtId="0" fontId="39" fillId="4" borderId="123" xfId="3" quotePrefix="1" applyFont="1" applyFill="1" applyBorder="1" applyAlignment="1">
      <alignment horizontal="center" vertical="center" wrapText="1" readingOrder="1"/>
    </xf>
    <xf numFmtId="0" fontId="36" fillId="4" borderId="124" xfId="3" applyFont="1" applyFill="1" applyBorder="1" applyAlignment="1">
      <alignment horizontal="center" vertical="center" wrapText="1" readingOrder="1"/>
    </xf>
    <xf numFmtId="0" fontId="36" fillId="4" borderId="10" xfId="3" applyFont="1" applyFill="1" applyBorder="1" applyAlignment="1">
      <alignment horizontal="center" vertical="center" wrapText="1" readingOrder="1"/>
    </xf>
    <xf numFmtId="0" fontId="36" fillId="4" borderId="125" xfId="3" applyFont="1" applyFill="1" applyBorder="1" applyAlignment="1">
      <alignment horizontal="center" vertical="center" wrapText="1" readingOrder="1"/>
    </xf>
    <xf numFmtId="0" fontId="36" fillId="4" borderId="11" xfId="3" applyFont="1" applyFill="1" applyBorder="1" applyAlignment="1">
      <alignment horizontal="center" vertical="center" wrapText="1" readingOrder="1"/>
    </xf>
    <xf numFmtId="10" fontId="42" fillId="8" borderId="85" xfId="3" applyNumberFormat="1" applyFont="1" applyFill="1" applyBorder="1" applyAlignment="1" applyProtection="1">
      <alignment horizontal="center" vertical="center" wrapText="1"/>
      <protection hidden="1"/>
    </xf>
    <xf numFmtId="0" fontId="26" fillId="4" borderId="64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vertical="center" wrapText="1"/>
    </xf>
    <xf numFmtId="2" fontId="29" fillId="6" borderId="63" xfId="3" applyNumberFormat="1" applyFont="1" applyFill="1" applyBorder="1" applyAlignment="1" applyProtection="1">
      <alignment horizontal="center" vertical="center" readingOrder="1"/>
      <protection locked="0"/>
    </xf>
    <xf numFmtId="2" fontId="33" fillId="5" borderId="95" xfId="2" applyNumberFormat="1" applyFont="1" applyFill="1" applyBorder="1" applyAlignment="1" applyProtection="1">
      <alignment horizontal="center" vertical="center"/>
      <protection hidden="1"/>
    </xf>
    <xf numFmtId="2" fontId="33" fillId="5" borderId="96" xfId="2" applyNumberFormat="1" applyFont="1" applyFill="1" applyBorder="1" applyAlignment="1" applyProtection="1">
      <alignment horizontal="center" vertical="center"/>
      <protection hidden="1"/>
    </xf>
    <xf numFmtId="2" fontId="33" fillId="0" borderId="130" xfId="2" applyNumberFormat="1" applyFont="1" applyFill="1" applyBorder="1" applyAlignment="1" applyProtection="1">
      <alignment horizontal="center" vertical="center"/>
      <protection hidden="1"/>
    </xf>
    <xf numFmtId="10" fontId="33" fillId="5" borderId="132" xfId="2" applyNumberFormat="1" applyFont="1" applyFill="1" applyBorder="1" applyAlignment="1" applyProtection="1">
      <alignment horizontal="center" vertical="center"/>
      <protection hidden="1"/>
    </xf>
    <xf numFmtId="0" fontId="44" fillId="4" borderId="0" xfId="3" applyFont="1" applyFill="1" applyAlignment="1">
      <alignment horizontal="center"/>
    </xf>
    <xf numFmtId="0" fontId="40" fillId="7" borderId="73" xfId="3" applyFont="1" applyFill="1" applyBorder="1" applyAlignment="1">
      <alignment horizontal="center" vertical="center" wrapText="1"/>
    </xf>
    <xf numFmtId="9" fontId="36" fillId="5" borderId="112" xfId="2" applyFont="1" applyFill="1" applyBorder="1" applyAlignment="1" applyProtection="1">
      <alignment horizontal="center" vertical="center"/>
      <protection hidden="1"/>
    </xf>
    <xf numFmtId="9" fontId="36" fillId="5" borderId="117" xfId="2" applyFont="1" applyFill="1" applyBorder="1" applyAlignment="1" applyProtection="1">
      <alignment horizontal="center" vertical="center"/>
      <protection hidden="1"/>
    </xf>
    <xf numFmtId="2" fontId="33" fillId="0" borderId="133" xfId="2" applyNumberFormat="1" applyFont="1" applyFill="1" applyBorder="1" applyAlignment="1" applyProtection="1">
      <alignment horizontal="center" vertical="center"/>
      <protection hidden="1"/>
    </xf>
    <xf numFmtId="9" fontId="33" fillId="6" borderId="134" xfId="2" applyFont="1" applyFill="1" applyBorder="1" applyAlignment="1" applyProtection="1">
      <alignment horizontal="center" vertical="center"/>
      <protection locked="0"/>
    </xf>
    <xf numFmtId="9" fontId="33" fillId="6" borderId="135" xfId="2" applyFont="1" applyFill="1" applyBorder="1" applyAlignment="1" applyProtection="1">
      <alignment horizontal="center" vertical="center"/>
      <protection locked="0"/>
    </xf>
    <xf numFmtId="9" fontId="33" fillId="6" borderId="136" xfId="2" applyFont="1" applyFill="1" applyBorder="1" applyAlignment="1" applyProtection="1">
      <alignment horizontal="center" vertical="center"/>
      <protection locked="0"/>
    </xf>
    <xf numFmtId="0" fontId="29" fillId="4" borderId="71" xfId="3" quotePrefix="1" applyFont="1" applyFill="1" applyBorder="1" applyAlignment="1">
      <alignment horizontal="center" vertical="center"/>
    </xf>
    <xf numFmtId="2" fontId="33" fillId="0" borderId="113" xfId="2" applyNumberFormat="1" applyFont="1" applyFill="1" applyBorder="1" applyAlignment="1" applyProtection="1">
      <alignment horizontal="center" vertical="center"/>
      <protection hidden="1"/>
    </xf>
    <xf numFmtId="2" fontId="33" fillId="5" borderId="93" xfId="2" applyNumberFormat="1" applyFont="1" applyFill="1" applyBorder="1" applyAlignment="1" applyProtection="1">
      <alignment horizontal="center" vertical="center"/>
      <protection hidden="1"/>
    </xf>
    <xf numFmtId="2" fontId="33" fillId="5" borderId="94" xfId="2" applyNumberFormat="1" applyFont="1" applyFill="1" applyBorder="1" applyAlignment="1" applyProtection="1">
      <alignment horizontal="center" vertical="center"/>
      <protection hidden="1"/>
    </xf>
    <xf numFmtId="9" fontId="36" fillId="5" borderId="118" xfId="2" applyFont="1" applyFill="1" applyBorder="1" applyAlignment="1" applyProtection="1">
      <alignment horizontal="center" vertical="center"/>
      <protection hidden="1"/>
    </xf>
    <xf numFmtId="0" fontId="26" fillId="4" borderId="137" xfId="3" applyFont="1" applyFill="1" applyBorder="1" applyAlignment="1">
      <alignment horizontal="left" vertical="center" readingOrder="1"/>
    </xf>
    <xf numFmtId="0" fontId="29" fillId="4" borderId="137" xfId="3" applyFont="1" applyFill="1" applyBorder="1" applyAlignment="1">
      <alignment horizontal="center" vertical="center"/>
    </xf>
    <xf numFmtId="0" fontId="29" fillId="6" borderId="137" xfId="3" applyFont="1" applyFill="1" applyBorder="1" applyAlignment="1" applyProtection="1">
      <alignment horizontal="center" vertical="center"/>
      <protection locked="0"/>
    </xf>
    <xf numFmtId="4" fontId="33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14" xfId="1" applyNumberFormat="1" applyFont="1" applyFill="1" applyBorder="1" applyAlignment="1" applyProtection="1">
      <alignment horizontal="center" vertical="center" wrapText="1"/>
      <protection locked="0"/>
    </xf>
    <xf numFmtId="10" fontId="33" fillId="5" borderId="120" xfId="2" applyNumberFormat="1" applyFont="1" applyFill="1" applyBorder="1" applyAlignment="1" applyProtection="1">
      <alignment horizontal="center" vertical="center"/>
      <protection hidden="1"/>
    </xf>
    <xf numFmtId="10" fontId="33" fillId="5" borderId="121" xfId="2" applyNumberFormat="1" applyFont="1" applyFill="1" applyBorder="1" applyAlignment="1" applyProtection="1">
      <alignment horizontal="center" vertical="center"/>
      <protection hidden="1"/>
    </xf>
    <xf numFmtId="10" fontId="33" fillId="5" borderId="131" xfId="2" applyNumberFormat="1" applyFont="1" applyFill="1" applyBorder="1" applyAlignment="1" applyProtection="1">
      <alignment horizontal="center" vertical="center"/>
      <protection hidden="1"/>
    </xf>
    <xf numFmtId="10" fontId="33" fillId="5" borderId="122" xfId="2" applyNumberFormat="1" applyFont="1" applyFill="1" applyBorder="1" applyAlignment="1" applyProtection="1">
      <alignment horizontal="center" vertical="center"/>
      <protection hidden="1"/>
    </xf>
    <xf numFmtId="0" fontId="26" fillId="9" borderId="71" xfId="3" applyFont="1" applyFill="1" applyBorder="1" applyAlignment="1">
      <alignment horizontal="left" vertical="center" readingOrder="1"/>
    </xf>
    <xf numFmtId="0" fontId="26" fillId="9" borderId="64" xfId="3" applyFont="1" applyFill="1" applyBorder="1" applyAlignment="1">
      <alignment horizontal="left" vertical="center" readingOrder="1"/>
    </xf>
    <xf numFmtId="0" fontId="26" fillId="4" borderId="65" xfId="3" applyFont="1" applyFill="1" applyBorder="1" applyAlignment="1">
      <alignment horizontal="center" vertical="center" readingOrder="1"/>
    </xf>
    <xf numFmtId="4" fontId="33" fillId="6" borderId="133" xfId="1" applyNumberFormat="1" applyFont="1" applyFill="1" applyBorder="1" applyAlignment="1" applyProtection="1">
      <alignment horizontal="center" vertical="center" wrapText="1"/>
      <protection locked="0"/>
    </xf>
    <xf numFmtId="2" fontId="33" fillId="5" borderId="134" xfId="2" applyNumberFormat="1" applyFont="1" applyFill="1" applyBorder="1" applyAlignment="1" applyProtection="1">
      <alignment horizontal="center" vertical="center"/>
      <protection hidden="1"/>
    </xf>
    <xf numFmtId="2" fontId="33" fillId="5" borderId="135" xfId="2" applyNumberFormat="1" applyFont="1" applyFill="1" applyBorder="1" applyAlignment="1" applyProtection="1">
      <alignment horizontal="center" vertical="center"/>
      <protection hidden="1"/>
    </xf>
    <xf numFmtId="9" fontId="36" fillId="5" borderId="136" xfId="2" applyFont="1" applyFill="1" applyBorder="1" applyAlignment="1" applyProtection="1">
      <alignment horizontal="center" vertical="center"/>
      <protection hidden="1"/>
    </xf>
    <xf numFmtId="10" fontId="33" fillId="5" borderId="138" xfId="2" applyNumberFormat="1" applyFont="1" applyFill="1" applyBorder="1" applyAlignment="1" applyProtection="1">
      <alignment horizontal="center" vertical="center"/>
      <protection hidden="1"/>
    </xf>
    <xf numFmtId="10" fontId="33" fillId="5" borderId="139" xfId="2" applyNumberFormat="1" applyFont="1" applyFill="1" applyBorder="1" applyAlignment="1" applyProtection="1">
      <alignment horizontal="center" vertical="center"/>
      <protection hidden="1"/>
    </xf>
    <xf numFmtId="2" fontId="29" fillId="6" borderId="71" xfId="3" applyNumberFormat="1" applyFont="1" applyFill="1" applyBorder="1" applyAlignment="1" applyProtection="1">
      <alignment horizontal="center" vertical="center" readingOrder="1"/>
      <protection locked="0"/>
    </xf>
    <xf numFmtId="4" fontId="33" fillId="6" borderId="93" xfId="1" applyNumberFormat="1" applyFont="1" applyFill="1" applyBorder="1" applyAlignment="1" applyProtection="1">
      <alignment horizontal="center" vertical="center"/>
      <protection locked="0"/>
    </xf>
    <xf numFmtId="4" fontId="33" fillId="6" borderId="94" xfId="1" applyNumberFormat="1" applyFont="1" applyFill="1" applyBorder="1" applyAlignment="1" applyProtection="1">
      <alignment horizontal="center" vertical="center"/>
      <protection locked="0"/>
    </xf>
    <xf numFmtId="4" fontId="33" fillId="6" borderId="118" xfId="1" applyNumberFormat="1" applyFont="1" applyFill="1" applyBorder="1" applyAlignment="1" applyProtection="1">
      <alignment horizontal="center" vertical="center"/>
      <protection locked="0"/>
    </xf>
    <xf numFmtId="0" fontId="3" fillId="0" borderId="73" xfId="3" applyFont="1" applyBorder="1" applyAlignment="1">
      <alignment vertical="center" wrapText="1"/>
    </xf>
    <xf numFmtId="0" fontId="40" fillId="0" borderId="75" xfId="3" applyFont="1" applyBorder="1" applyAlignment="1">
      <alignment vertical="center" wrapText="1"/>
    </xf>
    <xf numFmtId="0" fontId="29" fillId="6" borderId="64" xfId="3" applyFont="1" applyFill="1" applyBorder="1" applyAlignment="1" applyProtection="1">
      <alignment horizontal="center" vertical="center"/>
      <protection locked="0"/>
    </xf>
    <xf numFmtId="0" fontId="29" fillId="4" borderId="72" xfId="3" applyFont="1" applyFill="1" applyBorder="1" applyAlignment="1">
      <alignment horizontal="center" vertical="center"/>
    </xf>
    <xf numFmtId="0" fontId="29" fillId="4" borderId="72" xfId="3" quotePrefix="1" applyFont="1" applyFill="1" applyBorder="1" applyAlignment="1">
      <alignment horizontal="center" vertical="center"/>
    </xf>
    <xf numFmtId="2" fontId="33" fillId="0" borderId="140" xfId="2" applyNumberFormat="1" applyFont="1" applyFill="1" applyBorder="1" applyAlignment="1" applyProtection="1">
      <alignment horizontal="center" vertical="center"/>
      <protection hidden="1"/>
    </xf>
    <xf numFmtId="9" fontId="33" fillId="6" borderId="141" xfId="2" applyFont="1" applyFill="1" applyBorder="1" applyAlignment="1" applyProtection="1">
      <alignment horizontal="center" vertical="center"/>
      <protection locked="0"/>
    </xf>
    <xf numFmtId="9" fontId="33" fillId="6" borderId="142" xfId="2" applyFont="1" applyFill="1" applyBorder="1" applyAlignment="1" applyProtection="1">
      <alignment horizontal="center" vertical="center"/>
      <protection locked="0"/>
    </xf>
    <xf numFmtId="9" fontId="33" fillId="6" borderId="143" xfId="2" applyFont="1" applyFill="1" applyBorder="1" applyAlignment="1" applyProtection="1">
      <alignment horizontal="center" vertical="center"/>
      <protection locked="0"/>
    </xf>
    <xf numFmtId="2" fontId="33" fillId="5" borderId="141" xfId="2" applyNumberFormat="1" applyFont="1" applyFill="1" applyBorder="1" applyAlignment="1" applyProtection="1">
      <alignment horizontal="center" vertical="center"/>
      <protection hidden="1"/>
    </xf>
    <xf numFmtId="2" fontId="33" fillId="5" borderId="142" xfId="2" applyNumberFormat="1" applyFont="1" applyFill="1" applyBorder="1" applyAlignment="1" applyProtection="1">
      <alignment horizontal="center" vertical="center"/>
      <protection hidden="1"/>
    </xf>
    <xf numFmtId="9" fontId="36" fillId="5" borderId="143" xfId="2" applyFont="1" applyFill="1" applyBorder="1" applyAlignment="1" applyProtection="1">
      <alignment horizontal="center" vertical="center"/>
      <protection hidden="1"/>
    </xf>
    <xf numFmtId="10" fontId="33" fillId="5" borderId="144" xfId="2" applyNumberFormat="1" applyFont="1" applyFill="1" applyBorder="1" applyAlignment="1" applyProtection="1">
      <alignment horizontal="center" vertical="center"/>
      <protection hidden="1"/>
    </xf>
    <xf numFmtId="10" fontId="33" fillId="5" borderId="145" xfId="2" applyNumberFormat="1" applyFont="1" applyFill="1" applyBorder="1" applyAlignment="1" applyProtection="1">
      <alignment horizontal="center" vertical="center"/>
      <protection hidden="1"/>
    </xf>
    <xf numFmtId="2" fontId="33" fillId="5" borderId="127" xfId="2" applyNumberFormat="1" applyFont="1" applyFill="1" applyBorder="1" applyAlignment="1" applyProtection="1">
      <alignment horizontal="center" vertical="center"/>
      <protection hidden="1"/>
    </xf>
    <xf numFmtId="2" fontId="33" fillId="5" borderId="128" xfId="2" applyNumberFormat="1" applyFont="1" applyFill="1" applyBorder="1" applyAlignment="1" applyProtection="1">
      <alignment horizontal="center" vertical="center"/>
      <protection hidden="1"/>
    </xf>
    <xf numFmtId="2" fontId="33" fillId="5" borderId="146" xfId="2" applyNumberFormat="1" applyFont="1" applyFill="1" applyBorder="1" applyAlignment="1" applyProtection="1">
      <alignment horizontal="center" vertical="center"/>
      <protection hidden="1"/>
    </xf>
    <xf numFmtId="2" fontId="33" fillId="5" borderId="97" xfId="2" applyNumberFormat="1" applyFont="1" applyFill="1" applyBorder="1" applyAlignment="1" applyProtection="1">
      <alignment horizontal="center" vertical="center"/>
      <protection hidden="1"/>
    </xf>
    <xf numFmtId="2" fontId="33" fillId="5" borderId="98" xfId="2" applyNumberFormat="1" applyFont="1" applyFill="1" applyBorder="1" applyAlignment="1" applyProtection="1">
      <alignment horizontal="center" vertical="center"/>
      <protection hidden="1"/>
    </xf>
    <xf numFmtId="9" fontId="36" fillId="5" borderId="119" xfId="2" applyFont="1" applyFill="1" applyBorder="1" applyAlignment="1" applyProtection="1">
      <alignment horizontal="center" vertical="center"/>
      <protection hidden="1"/>
    </xf>
    <xf numFmtId="10" fontId="33" fillId="5" borderId="148" xfId="2" applyNumberFormat="1" applyFont="1" applyFill="1" applyBorder="1" applyAlignment="1" applyProtection="1">
      <alignment horizontal="center" vertical="center"/>
      <protection hidden="1"/>
    </xf>
    <xf numFmtId="9" fontId="33" fillId="6" borderId="93" xfId="2" applyFont="1" applyFill="1" applyBorder="1" applyAlignment="1" applyProtection="1">
      <alignment horizontal="center" vertical="center"/>
      <protection locked="0"/>
    </xf>
    <xf numFmtId="9" fontId="33" fillId="6" borderId="94" xfId="2" applyFont="1" applyFill="1" applyBorder="1" applyAlignment="1" applyProtection="1">
      <alignment horizontal="center" vertical="center"/>
      <protection locked="0"/>
    </xf>
    <xf numFmtId="9" fontId="33" fillId="6" borderId="118" xfId="2" applyFont="1" applyFill="1" applyBorder="1" applyAlignment="1" applyProtection="1">
      <alignment horizontal="center" vertical="center"/>
      <protection locked="0"/>
    </xf>
    <xf numFmtId="0" fontId="2" fillId="0" borderId="91" xfId="3" applyBorder="1" applyAlignment="1">
      <alignment horizontal="center" vertical="center" wrapText="1"/>
    </xf>
    <xf numFmtId="0" fontId="35" fillId="0" borderId="123" xfId="3" applyFont="1" applyBorder="1" applyAlignment="1">
      <alignment horizontal="center" vertical="center"/>
    </xf>
    <xf numFmtId="0" fontId="2" fillId="0" borderId="153" xfId="3" applyBorder="1" applyAlignment="1">
      <alignment horizontal="center" vertical="center" wrapText="1"/>
    </xf>
    <xf numFmtId="0" fontId="2" fillId="0" borderId="87" xfId="3" applyBorder="1" applyAlignment="1">
      <alignment horizontal="center" vertical="center" wrapText="1"/>
    </xf>
    <xf numFmtId="0" fontId="2" fillId="0" borderId="145" xfId="3" applyBorder="1" applyAlignment="1">
      <alignment horizontal="center" vertical="center" wrapText="1"/>
    </xf>
    <xf numFmtId="2" fontId="33" fillId="0" borderId="91" xfId="2" applyNumberFormat="1" applyFont="1" applyFill="1" applyBorder="1" applyAlignment="1" applyProtection="1">
      <alignment horizontal="center" vertical="center" wrapText="1"/>
      <protection hidden="1"/>
    </xf>
    <xf numFmtId="2" fontId="33" fillId="0" borderId="91" xfId="2" applyNumberFormat="1" applyFont="1" applyFill="1" applyBorder="1" applyAlignment="1" applyProtection="1">
      <alignment horizontal="center" vertical="center"/>
      <protection hidden="1"/>
    </xf>
    <xf numFmtId="2" fontId="33" fillId="0" borderId="145" xfId="2" applyNumberFormat="1" applyFont="1" applyFill="1" applyBorder="1" applyAlignment="1" applyProtection="1">
      <alignment horizontal="center" vertical="center"/>
      <protection hidden="1"/>
    </xf>
    <xf numFmtId="2" fontId="33" fillId="0" borderId="148" xfId="2" applyNumberFormat="1" applyFont="1" applyFill="1" applyBorder="1" applyAlignment="1" applyProtection="1">
      <alignment horizontal="center" vertical="center"/>
      <protection hidden="1"/>
    </xf>
    <xf numFmtId="0" fontId="2" fillId="0" borderId="117" xfId="3" applyBorder="1" applyAlignment="1">
      <alignment horizontal="center" vertical="center" wrapText="1"/>
    </xf>
    <xf numFmtId="0" fontId="2" fillId="0" borderId="143" xfId="3" applyBorder="1" applyAlignment="1">
      <alignment horizontal="center" vertical="center" wrapText="1"/>
    </xf>
    <xf numFmtId="0" fontId="2" fillId="0" borderId="122" xfId="3" applyBorder="1" applyAlignment="1">
      <alignment horizontal="center" vertical="center" wrapText="1"/>
    </xf>
    <xf numFmtId="0" fontId="2" fillId="0" borderId="118" xfId="3" applyBorder="1" applyAlignment="1">
      <alignment horizontal="center" vertical="center" wrapText="1"/>
    </xf>
    <xf numFmtId="0" fontId="2" fillId="4" borderId="0" xfId="3" applyFill="1" applyAlignment="1">
      <alignment horizontal="center" vertical="center"/>
    </xf>
    <xf numFmtId="0" fontId="26" fillId="6" borderId="0" xfId="3" applyFont="1" applyFill="1" applyAlignment="1" applyProtection="1">
      <alignment horizontal="center" vertical="center" wrapText="1" readingOrder="1"/>
      <protection locked="0"/>
    </xf>
    <xf numFmtId="0" fontId="26" fillId="4" borderId="0" xfId="3" quotePrefix="1" applyFont="1" applyFill="1" applyAlignment="1">
      <alignment horizontal="center" vertical="center" wrapText="1" readingOrder="1"/>
    </xf>
    <xf numFmtId="0" fontId="2" fillId="0" borderId="88" xfId="3" applyBorder="1" applyAlignment="1">
      <alignment horizontal="center" vertical="center"/>
    </xf>
    <xf numFmtId="0" fontId="2" fillId="0" borderId="85" xfId="3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 readingOrder="1"/>
    </xf>
    <xf numFmtId="0" fontId="20" fillId="4" borderId="0" xfId="3" applyFont="1" applyFill="1" applyAlignment="1">
      <alignment horizontal="center" vertical="center" readingOrder="1"/>
    </xf>
    <xf numFmtId="0" fontId="20" fillId="4" borderId="13" xfId="3" applyFont="1" applyFill="1" applyBorder="1" applyAlignment="1">
      <alignment horizontal="center" vertical="center" readingOrder="1"/>
    </xf>
    <xf numFmtId="9" fontId="29" fillId="4" borderId="65" xfId="3" quotePrefix="1" applyNumberFormat="1" applyFont="1" applyFill="1" applyBorder="1" applyAlignment="1">
      <alignment horizontal="center" vertical="center"/>
    </xf>
    <xf numFmtId="9" fontId="29" fillId="4" borderId="71" xfId="3" quotePrefix="1" applyNumberFormat="1" applyFont="1" applyFill="1" applyBorder="1" applyAlignment="1">
      <alignment horizontal="center" vertical="center"/>
    </xf>
    <xf numFmtId="9" fontId="29" fillId="4" borderId="64" xfId="3" quotePrefix="1" applyNumberFormat="1" applyFont="1" applyFill="1" applyBorder="1" applyAlignment="1">
      <alignment horizontal="center" vertical="center"/>
    </xf>
    <xf numFmtId="9" fontId="29" fillId="4" borderId="72" xfId="3" quotePrefix="1" applyNumberFormat="1" applyFont="1" applyFill="1" applyBorder="1" applyAlignment="1">
      <alignment horizontal="center" vertical="center"/>
    </xf>
    <xf numFmtId="0" fontId="26" fillId="4" borderId="137" xfId="3" applyFont="1" applyFill="1" applyBorder="1" applyAlignment="1">
      <alignment horizontal="left" vertical="center" readingOrder="1"/>
    </xf>
    <xf numFmtId="0" fontId="26" fillId="4" borderId="64" xfId="3" applyFont="1" applyFill="1" applyBorder="1" applyAlignment="1">
      <alignment horizontal="left" vertical="center" readingOrder="1"/>
    </xf>
    <xf numFmtId="0" fontId="26" fillId="4" borderId="72" xfId="3" applyFont="1" applyFill="1" applyBorder="1" applyAlignment="1">
      <alignment horizontal="left" vertical="center" readingOrder="1"/>
    </xf>
    <xf numFmtId="0" fontId="26" fillId="4" borderId="63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vertical="center" wrapText="1" readingOrder="1"/>
    </xf>
    <xf numFmtId="0" fontId="26" fillId="6" borderId="0" xfId="3" applyFont="1" applyFill="1" applyAlignment="1" applyProtection="1">
      <alignment horizontal="left" vertical="center" wrapText="1" readingOrder="1"/>
      <protection locked="0"/>
    </xf>
    <xf numFmtId="0" fontId="26" fillId="4" borderId="0" xfId="3" applyFont="1" applyFill="1" applyAlignment="1">
      <alignment horizontal="left" wrapText="1" readingOrder="1"/>
    </xf>
    <xf numFmtId="0" fontId="26" fillId="6" borderId="0" xfId="3" applyFont="1" applyFill="1" applyAlignment="1" applyProtection="1">
      <alignment horizontal="left" wrapText="1" readingOrder="1"/>
      <protection locked="0"/>
    </xf>
    <xf numFmtId="0" fontId="28" fillId="4" borderId="0" xfId="3" applyFont="1" applyFill="1" applyAlignment="1">
      <alignment horizontal="left" vertical="center" wrapText="1" readingOrder="1"/>
    </xf>
    <xf numFmtId="49" fontId="28" fillId="6" borderId="0" xfId="3" applyNumberFormat="1" applyFont="1" applyFill="1" applyAlignment="1" applyProtection="1">
      <alignment horizontal="left" wrapText="1" readingOrder="1"/>
      <protection locked="0"/>
    </xf>
    <xf numFmtId="0" fontId="26" fillId="6" borderId="0" xfId="3" applyFont="1" applyFill="1" applyAlignment="1" applyProtection="1">
      <alignment horizontal="center" wrapText="1" readingOrder="1"/>
      <protection locked="0"/>
    </xf>
    <xf numFmtId="0" fontId="8" fillId="6" borderId="0" xfId="3" applyFont="1" applyFill="1" applyAlignment="1" applyProtection="1">
      <alignment horizontal="center" vertical="top" readingOrder="1"/>
      <protection locked="0"/>
    </xf>
    <xf numFmtId="0" fontId="7" fillId="4" borderId="0" xfId="3" applyFont="1" applyFill="1" applyAlignment="1" applyProtection="1">
      <alignment horizontal="center" vertical="center" readingOrder="1"/>
      <protection locked="0"/>
    </xf>
    <xf numFmtId="0" fontId="8" fillId="4" borderId="0" xfId="3" applyFont="1" applyFill="1" applyAlignment="1" applyProtection="1">
      <alignment horizontal="center" vertical="top" readingOrder="1"/>
      <protection locked="0"/>
    </xf>
    <xf numFmtId="0" fontId="8" fillId="4" borderId="0" xfId="3" applyFont="1" applyFill="1" applyAlignment="1" applyProtection="1">
      <alignment horizontal="center" vertical="top" wrapText="1" readingOrder="1"/>
      <protection locked="0"/>
    </xf>
    <xf numFmtId="0" fontId="20" fillId="4" borderId="6" xfId="3" applyFont="1" applyFill="1" applyBorder="1" applyAlignment="1" applyProtection="1">
      <alignment horizontal="center" vertical="top" readingOrder="1"/>
      <protection locked="0"/>
    </xf>
    <xf numFmtId="0" fontId="20" fillId="4" borderId="0" xfId="3" applyFont="1" applyFill="1" applyAlignment="1" applyProtection="1">
      <alignment horizontal="center" vertical="top" readingOrder="1"/>
      <protection locked="0"/>
    </xf>
    <xf numFmtId="0" fontId="20" fillId="4" borderId="12" xfId="3" applyFont="1" applyFill="1" applyBorder="1" applyAlignment="1" applyProtection="1">
      <alignment horizontal="center" vertical="top" readingOrder="1"/>
      <protection locked="0"/>
    </xf>
    <xf numFmtId="0" fontId="20" fillId="4" borderId="13" xfId="3" applyFont="1" applyFill="1" applyBorder="1" applyAlignment="1" applyProtection="1">
      <alignment horizontal="center" vertical="top" readingOrder="1"/>
      <protection locked="0"/>
    </xf>
    <xf numFmtId="0" fontId="26" fillId="0" borderId="65" xfId="3" applyFont="1" applyBorder="1" applyAlignment="1">
      <alignment horizontal="left" vertical="center" readingOrder="1"/>
    </xf>
    <xf numFmtId="0" fontId="34" fillId="4" borderId="30" xfId="3" quotePrefix="1" applyFont="1" applyFill="1" applyBorder="1" applyAlignment="1">
      <alignment horizontal="center" vertical="center" readingOrder="1"/>
    </xf>
    <xf numFmtId="0" fontId="34" fillId="4" borderId="30" xfId="3" applyFont="1" applyFill="1" applyBorder="1" applyAlignment="1">
      <alignment horizontal="center" vertical="center" readingOrder="1"/>
    </xf>
    <xf numFmtId="0" fontId="26" fillId="0" borderId="64" xfId="3" applyFont="1" applyBorder="1" applyAlignment="1">
      <alignment horizontal="left" vertical="center" readingOrder="1"/>
    </xf>
    <xf numFmtId="0" fontId="22" fillId="0" borderId="7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top" readingOrder="1"/>
    </xf>
    <xf numFmtId="0" fontId="20" fillId="4" borderId="2" xfId="3" applyFont="1" applyFill="1" applyBorder="1" applyAlignment="1">
      <alignment horizontal="center" vertical="top" readingOrder="1"/>
    </xf>
    <xf numFmtId="166" fontId="41" fillId="5" borderId="73" xfId="3" applyNumberFormat="1" applyFont="1" applyFill="1" applyBorder="1" applyAlignment="1" applyProtection="1">
      <alignment horizontal="right" vertical="center" wrapText="1"/>
      <protection hidden="1"/>
    </xf>
    <xf numFmtId="166" fontId="41" fillId="5" borderId="74" xfId="3" applyNumberFormat="1" applyFont="1" applyFill="1" applyBorder="1" applyAlignment="1" applyProtection="1">
      <alignment horizontal="right" vertical="center" wrapText="1"/>
      <protection hidden="1"/>
    </xf>
    <xf numFmtId="166" fontId="41" fillId="5" borderId="75" xfId="3" applyNumberFormat="1" applyFont="1" applyFill="1" applyBorder="1" applyAlignment="1" applyProtection="1">
      <alignment horizontal="right" vertical="center" wrapText="1"/>
      <protection hidden="1"/>
    </xf>
    <xf numFmtId="0" fontId="43" fillId="4" borderId="74" xfId="3" applyFont="1" applyFill="1" applyBorder="1" applyAlignment="1">
      <alignment horizontal="right" vertical="center" wrapText="1"/>
    </xf>
    <xf numFmtId="0" fontId="43" fillId="4" borderId="75" xfId="3" applyFont="1" applyFill="1" applyBorder="1" applyAlignment="1">
      <alignment horizontal="right" vertical="center" wrapText="1"/>
    </xf>
    <xf numFmtId="4" fontId="33" fillId="6" borderId="127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8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9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30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3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14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4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1" xfId="1" applyNumberFormat="1" applyFont="1" applyFill="1" applyBorder="1" applyAlignment="1" applyProtection="1">
      <alignment horizontal="center" vertical="center" wrapText="1"/>
      <protection locked="0"/>
    </xf>
    <xf numFmtId="2" fontId="33" fillId="5" borderId="130" xfId="2" applyNumberFormat="1" applyFont="1" applyFill="1" applyBorder="1" applyAlignment="1" applyProtection="1">
      <alignment horizontal="center" vertical="center"/>
      <protection hidden="1"/>
    </xf>
    <xf numFmtId="2" fontId="33" fillId="5" borderId="63" xfId="2" applyNumberFormat="1" applyFont="1" applyFill="1" applyBorder="1" applyAlignment="1" applyProtection="1">
      <alignment horizontal="center" vertical="center"/>
      <protection hidden="1"/>
    </xf>
    <xf numFmtId="2" fontId="33" fillId="5" borderId="149" xfId="2" applyNumberFormat="1" applyFont="1" applyFill="1" applyBorder="1" applyAlignment="1" applyProtection="1">
      <alignment horizontal="center" vertical="center"/>
      <protection hidden="1"/>
    </xf>
    <xf numFmtId="2" fontId="33" fillId="5" borderId="114" xfId="2" applyNumberFormat="1" applyFont="1" applyFill="1" applyBorder="1" applyAlignment="1" applyProtection="1">
      <alignment horizontal="center" vertical="center"/>
      <protection hidden="1"/>
    </xf>
    <xf numFmtId="2" fontId="33" fillId="5" borderId="64" xfId="2" applyNumberFormat="1" applyFont="1" applyFill="1" applyBorder="1" applyAlignment="1" applyProtection="1">
      <alignment horizontal="center" vertical="center"/>
      <protection hidden="1"/>
    </xf>
    <xf numFmtId="2" fontId="33" fillId="5" borderId="147" xfId="2" applyNumberFormat="1" applyFont="1" applyFill="1" applyBorder="1" applyAlignment="1" applyProtection="1">
      <alignment horizontal="center" vertical="center"/>
      <protection hidden="1"/>
    </xf>
    <xf numFmtId="0" fontId="26" fillId="0" borderId="71" xfId="3" applyFont="1" applyBorder="1" applyAlignment="1">
      <alignment horizontal="left" vertical="center" readingOrder="1"/>
    </xf>
    <xf numFmtId="0" fontId="36" fillId="4" borderId="99" xfId="3" applyFont="1" applyFill="1" applyBorder="1" applyAlignment="1">
      <alignment horizontal="center" vertical="center" wrapText="1" readingOrder="1"/>
    </xf>
    <xf numFmtId="0" fontId="36" fillId="4" borderId="105" xfId="3" applyFont="1" applyFill="1" applyBorder="1" applyAlignment="1">
      <alignment horizontal="center" vertical="center" wrapText="1" readingOrder="1"/>
    </xf>
    <xf numFmtId="0" fontId="36" fillId="4" borderId="3" xfId="3" applyFont="1" applyFill="1" applyBorder="1" applyAlignment="1">
      <alignment horizontal="center" vertical="center" wrapText="1" readingOrder="1"/>
    </xf>
    <xf numFmtId="0" fontId="36" fillId="4" borderId="100" xfId="3" applyFont="1" applyFill="1" applyBorder="1" applyAlignment="1">
      <alignment horizontal="center" vertical="center" wrapText="1" readingOrder="1"/>
    </xf>
    <xf numFmtId="0" fontId="36" fillId="4" borderId="101" xfId="3" applyFont="1" applyFill="1" applyBorder="1" applyAlignment="1">
      <alignment horizontal="center" vertical="center" wrapText="1" readingOrder="1"/>
    </xf>
    <xf numFmtId="0" fontId="36" fillId="4" borderId="61" xfId="3" applyFont="1" applyFill="1" applyBorder="1" applyAlignment="1">
      <alignment horizontal="center" vertical="center" wrapText="1" readingOrder="1"/>
    </xf>
    <xf numFmtId="0" fontId="36" fillId="4" borderId="59" xfId="3" applyFont="1" applyFill="1" applyBorder="1" applyAlignment="1">
      <alignment horizontal="center" vertical="center" wrapText="1" readingOrder="1"/>
    </xf>
    <xf numFmtId="0" fontId="36" fillId="4" borderId="68" xfId="3" applyFont="1" applyFill="1" applyBorder="1" applyAlignment="1">
      <alignment horizontal="center" vertical="center" wrapText="1" readingOrder="1"/>
    </xf>
    <xf numFmtId="0" fontId="36" fillId="4" borderId="1" xfId="3" applyFont="1" applyFill="1" applyBorder="1" applyAlignment="1">
      <alignment horizontal="center" vertical="center" wrapText="1" readingOrder="1"/>
    </xf>
    <xf numFmtId="0" fontId="36" fillId="4" borderId="6" xfId="3" applyFont="1" applyFill="1" applyBorder="1" applyAlignment="1">
      <alignment horizontal="center" vertical="center" wrapText="1" readingOrder="1"/>
    </xf>
    <xf numFmtId="0" fontId="36" fillId="4" borderId="66" xfId="3" applyFont="1" applyFill="1" applyBorder="1" applyAlignment="1">
      <alignment horizontal="center" vertical="center" wrapText="1" readingOrder="1"/>
    </xf>
    <xf numFmtId="0" fontId="36" fillId="4" borderId="86" xfId="3" applyFont="1" applyFill="1" applyBorder="1" applyAlignment="1">
      <alignment horizontal="center" vertical="center" wrapText="1" readingOrder="1"/>
    </xf>
    <xf numFmtId="0" fontId="36" fillId="4" borderId="87" xfId="3" applyFont="1" applyFill="1" applyBorder="1" applyAlignment="1">
      <alignment horizontal="center" vertical="center" wrapText="1" readingOrder="1"/>
    </xf>
    <xf numFmtId="0" fontId="36" fillId="4" borderId="89" xfId="3" applyFont="1" applyFill="1" applyBorder="1" applyAlignment="1">
      <alignment horizontal="center" vertical="center" wrapText="1" readingOrder="1"/>
    </xf>
    <xf numFmtId="0" fontId="25" fillId="4" borderId="2" xfId="3" applyFont="1" applyFill="1" applyBorder="1" applyAlignment="1">
      <alignment horizontal="center" vertical="center" wrapText="1" readingOrder="1"/>
    </xf>
    <xf numFmtId="0" fontId="25" fillId="4" borderId="0" xfId="3" applyFont="1" applyFill="1" applyAlignment="1">
      <alignment horizontal="center" vertical="center" wrapText="1" readingOrder="1"/>
    </xf>
    <xf numFmtId="0" fontId="25" fillId="4" borderId="67" xfId="3" applyFont="1" applyFill="1" applyBorder="1" applyAlignment="1">
      <alignment horizontal="center" vertical="center" wrapText="1" readingOrder="1"/>
    </xf>
    <xf numFmtId="0" fontId="25" fillId="4" borderId="2" xfId="3" applyFont="1" applyFill="1" applyBorder="1" applyAlignment="1">
      <alignment horizontal="center" vertical="center" readingOrder="1"/>
    </xf>
    <xf numFmtId="0" fontId="25" fillId="4" borderId="0" xfId="3" applyFont="1" applyFill="1" applyAlignment="1">
      <alignment horizontal="center" vertical="center" readingOrder="1"/>
    </xf>
    <xf numFmtId="0" fontId="25" fillId="4" borderId="67" xfId="3" applyFont="1" applyFill="1" applyBorder="1" applyAlignment="1">
      <alignment horizontal="center" vertical="center" readingOrder="1"/>
    </xf>
    <xf numFmtId="0" fontId="25" fillId="4" borderId="1" xfId="3" applyFont="1" applyFill="1" applyBorder="1" applyAlignment="1">
      <alignment horizontal="center" vertical="center" wrapText="1" readingOrder="1"/>
    </xf>
    <xf numFmtId="0" fontId="25" fillId="4" borderId="6" xfId="3" applyFont="1" applyFill="1" applyBorder="1" applyAlignment="1">
      <alignment horizontal="center" vertical="center" wrapText="1" readingOrder="1"/>
    </xf>
    <xf numFmtId="0" fontId="25" fillId="4" borderId="66" xfId="3" applyFont="1" applyFill="1" applyBorder="1" applyAlignment="1">
      <alignment horizontal="center" vertical="center" wrapText="1" readingOrder="1"/>
    </xf>
    <xf numFmtId="0" fontId="36" fillId="4" borderId="126" xfId="3" applyFont="1" applyFill="1" applyBorder="1" applyAlignment="1">
      <alignment horizontal="center" vertical="center" wrapText="1" readingOrder="1"/>
    </xf>
    <xf numFmtId="0" fontId="36" fillId="4" borderId="9" xfId="3" applyFont="1" applyFill="1" applyBorder="1" applyAlignment="1">
      <alignment horizontal="center" vertical="center" wrapText="1" readingOrder="1"/>
    </xf>
    <xf numFmtId="0" fontId="36" fillId="4" borderId="2" xfId="3" applyFont="1" applyFill="1" applyBorder="1" applyAlignment="1">
      <alignment horizontal="center" vertical="center" wrapText="1" readingOrder="1"/>
    </xf>
    <xf numFmtId="0" fontId="36" fillId="4" borderId="92" xfId="3" applyFont="1" applyFill="1" applyBorder="1" applyAlignment="1">
      <alignment horizontal="center" vertical="center" wrapText="1" readingOrder="1"/>
    </xf>
    <xf numFmtId="0" fontId="36" fillId="4" borderId="102" xfId="3" applyFont="1" applyFill="1" applyBorder="1" applyAlignment="1">
      <alignment horizontal="center" vertical="center" wrapText="1" readingOrder="1"/>
    </xf>
    <xf numFmtId="0" fontId="36" fillId="4" borderId="7" xfId="3" applyFont="1" applyFill="1" applyBorder="1" applyAlignment="1">
      <alignment horizontal="center" vertical="center" wrapText="1" readingOrder="1"/>
    </xf>
    <xf numFmtId="0" fontId="3" fillId="0" borderId="87" xfId="3" applyFont="1" applyBorder="1" applyAlignment="1">
      <alignment horizontal="center" vertical="center"/>
    </xf>
    <xf numFmtId="0" fontId="36" fillId="4" borderId="150" xfId="3" applyFont="1" applyFill="1" applyBorder="1" applyAlignment="1">
      <alignment horizontal="center" vertical="center" wrapText="1" readingOrder="1"/>
    </xf>
    <xf numFmtId="0" fontId="36" fillId="4" borderId="151" xfId="3" applyFont="1" applyFill="1" applyBorder="1" applyAlignment="1">
      <alignment horizontal="center" vertical="center" wrapText="1" readingOrder="1"/>
    </xf>
    <xf numFmtId="0" fontId="36" fillId="4" borderId="152" xfId="3" applyFont="1" applyFill="1" applyBorder="1" applyAlignment="1">
      <alignment horizontal="center" vertical="center" wrapText="1" readingOrder="1"/>
    </xf>
    <xf numFmtId="4" fontId="33" fillId="6" borderId="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2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7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0" xfId="1" applyNumberFormat="1" applyFont="1" applyFill="1" applyBorder="1" applyAlignment="1" applyProtection="1">
      <alignment horizontal="center" vertical="center" wrapText="1"/>
      <protection locked="0"/>
    </xf>
    <xf numFmtId="0" fontId="36" fillId="4" borderId="104" xfId="3" applyFont="1" applyFill="1" applyBorder="1" applyAlignment="1">
      <alignment horizontal="center" vertical="center" wrapText="1" readingOrder="1"/>
    </xf>
    <xf numFmtId="0" fontId="36" fillId="4" borderId="8" xfId="3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7" fillId="0" borderId="37" xfId="3" applyFont="1" applyBorder="1" applyAlignment="1">
      <alignment horizontal="center" vertical="center" wrapText="1" readingOrder="1"/>
    </xf>
    <xf numFmtId="0" fontId="7" fillId="0" borderId="44" xfId="3" applyFont="1" applyBorder="1" applyAlignment="1">
      <alignment horizontal="center" vertical="center" wrapText="1" readingOrder="1"/>
    </xf>
    <xf numFmtId="0" fontId="7" fillId="0" borderId="51" xfId="3" applyFont="1" applyBorder="1" applyAlignment="1">
      <alignment horizontal="center" vertical="center" wrapText="1" readingOrder="1"/>
    </xf>
    <xf numFmtId="0" fontId="7" fillId="0" borderId="38" xfId="3" applyFont="1" applyBorder="1" applyAlignment="1">
      <alignment horizontal="center" vertical="center" readingOrder="1"/>
    </xf>
    <xf numFmtId="0" fontId="7" fillId="0" borderId="45" xfId="3" applyFont="1" applyBorder="1" applyAlignment="1">
      <alignment horizontal="center" vertical="center" readingOrder="1"/>
    </xf>
    <xf numFmtId="0" fontId="7" fillId="0" borderId="52" xfId="3" applyFont="1" applyBorder="1" applyAlignment="1">
      <alignment horizontal="center" vertical="center" readingOrder="1"/>
    </xf>
    <xf numFmtId="0" fontId="7" fillId="0" borderId="39" xfId="3" applyFont="1" applyBorder="1" applyAlignment="1">
      <alignment horizontal="center" vertical="center" readingOrder="1"/>
    </xf>
    <xf numFmtId="0" fontId="7" fillId="0" borderId="40" xfId="3" applyFont="1" applyBorder="1" applyAlignment="1">
      <alignment horizontal="center" vertical="center" readingOrder="1"/>
    </xf>
    <xf numFmtId="0" fontId="7" fillId="0" borderId="46" xfId="3" applyFont="1" applyBorder="1" applyAlignment="1">
      <alignment horizontal="center" vertical="center" readingOrder="1"/>
    </xf>
    <xf numFmtId="0" fontId="7" fillId="0" borderId="47" xfId="3" applyFont="1" applyBorder="1" applyAlignment="1">
      <alignment horizontal="center" vertical="center" readingOrder="1"/>
    </xf>
    <xf numFmtId="0" fontId="7" fillId="0" borderId="19" xfId="3" applyFont="1" applyBorder="1" applyAlignment="1">
      <alignment horizontal="center" vertical="center" readingOrder="1"/>
    </xf>
    <xf numFmtId="0" fontId="7" fillId="0" borderId="18" xfId="3" applyFont="1" applyBorder="1" applyAlignment="1">
      <alignment horizontal="center" vertical="center" readingOrder="1"/>
    </xf>
    <xf numFmtId="0" fontId="7" fillId="0" borderId="41" xfId="3" applyFont="1" applyBorder="1" applyAlignment="1">
      <alignment horizontal="center" vertical="center" wrapText="1" readingOrder="1"/>
    </xf>
    <xf numFmtId="0" fontId="7" fillId="0" borderId="42" xfId="3" applyFont="1" applyBorder="1" applyAlignment="1">
      <alignment horizontal="center" vertical="center" wrapText="1" readingOrder="1"/>
    </xf>
    <xf numFmtId="0" fontId="7" fillId="0" borderId="43" xfId="3" applyFont="1" applyBorder="1" applyAlignment="1">
      <alignment horizontal="center" vertical="center" wrapText="1" readingOrder="1"/>
    </xf>
    <xf numFmtId="0" fontId="4" fillId="0" borderId="3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left" wrapText="1" readingOrder="1"/>
    </xf>
    <xf numFmtId="0" fontId="5" fillId="0" borderId="18" xfId="3" applyFont="1" applyBorder="1" applyAlignment="1">
      <alignment horizontal="left" wrapText="1" readingOrder="1"/>
    </xf>
    <xf numFmtId="0" fontId="5" fillId="0" borderId="20" xfId="3" applyFont="1" applyBorder="1" applyAlignment="1">
      <alignment horizontal="left" wrapText="1" readingOrder="1"/>
    </xf>
    <xf numFmtId="0" fontId="5" fillId="0" borderId="21" xfId="3" applyFont="1" applyBorder="1" applyAlignment="1">
      <alignment horizontal="left" wrapText="1" readingOrder="1"/>
    </xf>
    <xf numFmtId="0" fontId="5" fillId="0" borderId="22" xfId="3" applyFont="1" applyBorder="1" applyAlignment="1">
      <alignment horizontal="left" wrapText="1" readingOrder="1"/>
    </xf>
    <xf numFmtId="0" fontId="5" fillId="0" borderId="23" xfId="3" applyFont="1" applyBorder="1" applyAlignment="1">
      <alignment horizontal="left" wrapText="1" readingOrder="1"/>
    </xf>
    <xf numFmtId="0" fontId="5" fillId="0" borderId="25" xfId="3" applyFont="1" applyBorder="1" applyAlignment="1">
      <alignment horizontal="left" wrapText="1" readingOrder="1"/>
    </xf>
    <xf numFmtId="0" fontId="5" fillId="0" borderId="26" xfId="3" applyFont="1" applyBorder="1" applyAlignment="1">
      <alignment horizontal="left" wrapText="1" readingOrder="1"/>
    </xf>
    <xf numFmtId="0" fontId="5" fillId="0" borderId="27" xfId="3" applyFont="1" applyBorder="1" applyAlignment="1">
      <alignment horizontal="center" wrapText="1" readingOrder="1"/>
    </xf>
    <xf numFmtId="0" fontId="5" fillId="0" borderId="28" xfId="3" applyFont="1" applyBorder="1" applyAlignment="1">
      <alignment horizontal="center" wrapText="1" readingOrder="1"/>
    </xf>
    <xf numFmtId="0" fontId="6" fillId="0" borderId="30" xfId="3" applyFont="1" applyBorder="1" applyAlignment="1">
      <alignment horizontal="left" vertical="center" wrapText="1" readingOrder="1"/>
    </xf>
    <xf numFmtId="0" fontId="6" fillId="0" borderId="31" xfId="3" applyFont="1" applyBorder="1" applyAlignment="1">
      <alignment horizontal="left" vertical="center" wrapText="1" readingOrder="1"/>
    </xf>
    <xf numFmtId="0" fontId="5" fillId="0" borderId="32" xfId="3" applyFont="1" applyBorder="1" applyAlignment="1">
      <alignment horizontal="left" vertical="center" wrapText="1" readingOrder="1"/>
    </xf>
    <xf numFmtId="0" fontId="5" fillId="0" borderId="33" xfId="3" applyFont="1" applyBorder="1" applyAlignment="1">
      <alignment horizontal="left" vertical="center" wrapText="1" readingOrder="1"/>
    </xf>
    <xf numFmtId="0" fontId="5" fillId="0" borderId="35" xfId="3" applyFont="1" applyBorder="1" applyAlignment="1">
      <alignment horizontal="left" vertical="center" readingOrder="1"/>
    </xf>
    <xf numFmtId="0" fontId="5" fillId="0" borderId="36" xfId="3" applyFont="1" applyBorder="1" applyAlignment="1">
      <alignment horizontal="left" vertical="center" readingOrder="1"/>
    </xf>
    <xf numFmtId="0" fontId="20" fillId="0" borderId="1" xfId="3" applyFont="1" applyBorder="1" applyAlignment="1">
      <alignment horizontal="center" vertical="top" readingOrder="1"/>
    </xf>
    <xf numFmtId="0" fontId="20" fillId="0" borderId="2" xfId="3" applyFont="1" applyBorder="1" applyAlignment="1">
      <alignment horizontal="center" vertical="top" readingOrder="1"/>
    </xf>
    <xf numFmtId="0" fontId="20" fillId="0" borderId="61" xfId="3" applyFont="1" applyBorder="1" applyAlignment="1">
      <alignment horizontal="center" vertical="top" readingOrder="1"/>
    </xf>
    <xf numFmtId="0" fontId="8" fillId="0" borderId="0" xfId="3" applyFont="1" applyAlignment="1">
      <alignment horizontal="center" vertical="top" readingOrder="1"/>
    </xf>
    <xf numFmtId="0" fontId="20" fillId="0" borderId="6" xfId="3" applyFont="1" applyBorder="1" applyAlignment="1">
      <alignment horizontal="center" vertical="top" readingOrder="1"/>
    </xf>
    <xf numFmtId="0" fontId="20" fillId="0" borderId="0" xfId="3" applyFont="1" applyAlignment="1">
      <alignment horizontal="center" vertical="top" readingOrder="1"/>
    </xf>
    <xf numFmtId="0" fontId="20" fillId="0" borderId="59" xfId="3" applyFont="1" applyBorder="1" applyAlignment="1">
      <alignment horizontal="center" vertical="top" readingOrder="1"/>
    </xf>
    <xf numFmtId="0" fontId="20" fillId="0" borderId="12" xfId="3" applyFont="1" applyBorder="1" applyAlignment="1">
      <alignment horizontal="center" vertical="top" readingOrder="1"/>
    </xf>
    <xf numFmtId="0" fontId="20" fillId="0" borderId="13" xfId="3" applyFont="1" applyBorder="1" applyAlignment="1">
      <alignment horizontal="center" vertical="top" readingOrder="1"/>
    </xf>
    <xf numFmtId="0" fontId="20" fillId="0" borderId="62" xfId="3" applyFont="1" applyBorder="1" applyAlignment="1">
      <alignment horizontal="center" vertical="top" readingOrder="1"/>
    </xf>
    <xf numFmtId="0" fontId="8" fillId="0" borderId="24" xfId="3" quotePrefix="1" applyFont="1" applyBorder="1" applyAlignment="1">
      <alignment horizontal="center" vertical="center" readingOrder="1"/>
    </xf>
    <xf numFmtId="0" fontId="8" fillId="0" borderId="23" xfId="3" applyFont="1" applyBorder="1" applyAlignment="1">
      <alignment horizontal="center" vertical="center" readingOrder="1"/>
    </xf>
    <xf numFmtId="0" fontId="7" fillId="0" borderId="24" xfId="3" applyFont="1" applyBorder="1" applyAlignment="1">
      <alignment horizontal="center" vertical="center" readingOrder="1"/>
    </xf>
    <xf numFmtId="0" fontId="7" fillId="0" borderId="23" xfId="3" applyFont="1" applyBorder="1" applyAlignment="1">
      <alignment horizontal="center" vertical="center" readingOrder="1"/>
    </xf>
    <xf numFmtId="0" fontId="7" fillId="0" borderId="34" xfId="3" applyFont="1" applyBorder="1" applyAlignment="1">
      <alignment horizontal="center" vertical="center" readingOrder="1"/>
    </xf>
    <xf numFmtId="0" fontId="7" fillId="0" borderId="35" xfId="3" applyFont="1" applyBorder="1" applyAlignment="1">
      <alignment horizontal="center" vertical="center" readingOrder="1"/>
    </xf>
    <xf numFmtId="0" fontId="7" fillId="0" borderId="33" xfId="3" applyFont="1" applyBorder="1" applyAlignment="1">
      <alignment horizontal="center" vertical="center" readingOrder="1"/>
    </xf>
    <xf numFmtId="0" fontId="7" fillId="0" borderId="0" xfId="3" applyFont="1" applyAlignment="1">
      <alignment horizontal="center" vertical="center" readingOrder="1"/>
    </xf>
    <xf numFmtId="0" fontId="26" fillId="9" borderId="64" xfId="3" applyFont="1" applyFill="1" applyBorder="1" applyAlignment="1">
      <alignment horizontal="left" vertical="center" readingOrder="1"/>
    </xf>
    <xf numFmtId="0" fontId="26" fillId="9" borderId="65" xfId="3" applyFont="1" applyFill="1" applyBorder="1" applyAlignment="1">
      <alignment horizontal="left" vertical="center" readingOrder="1"/>
    </xf>
    <xf numFmtId="0" fontId="40" fillId="7" borderId="73" xfId="3" applyFont="1" applyFill="1" applyBorder="1" applyAlignment="1">
      <alignment horizontal="center" vertical="center" wrapText="1"/>
    </xf>
    <xf numFmtId="0" fontId="40" fillId="7" borderId="74" xfId="3" applyFont="1" applyFill="1" applyBorder="1" applyAlignment="1">
      <alignment horizontal="center" vertical="center" wrapText="1"/>
    </xf>
    <xf numFmtId="0" fontId="40" fillId="7" borderId="75" xfId="3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17" xfId="3" xr:uid="{00000000-0005-0000-0000-000002000000}"/>
    <cellStyle name="Percent" xfId="2" builtinId="5"/>
  </cellStyles>
  <dxfs count="24"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D1D1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5</xdr:row>
      <xdr:rowOff>95251</xdr:rowOff>
    </xdr:from>
    <xdr:to>
      <xdr:col>6</xdr:col>
      <xdr:colOff>2085975</xdr:colOff>
      <xdr:row>10</xdr:row>
      <xdr:rowOff>116910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7525D2-331E-4A54-B8FB-5B6B56B2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742951"/>
          <a:ext cx="1857375" cy="1555184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4</xdr:row>
      <xdr:rowOff>47625</xdr:rowOff>
    </xdr:from>
    <xdr:to>
      <xdr:col>6</xdr:col>
      <xdr:colOff>2114550</xdr:colOff>
      <xdr:row>4</xdr:row>
      <xdr:rowOff>1602809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ED3884-D833-470B-9A07-6A94E9CE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695325"/>
          <a:ext cx="1857375" cy="155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402170</xdr:colOff>
      <xdr:row>38</xdr:row>
      <xdr:rowOff>275160</xdr:rowOff>
    </xdr:from>
    <xdr:to>
      <xdr:col>8</xdr:col>
      <xdr:colOff>1015998</xdr:colOff>
      <xdr:row>42</xdr:row>
      <xdr:rowOff>238124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50D663-ACA5-41D7-8128-066A031C4752}"/>
            </a:ext>
          </a:extLst>
        </xdr:cNvPr>
        <xdr:cNvSpPr txBox="1"/>
      </xdr:nvSpPr>
      <xdr:spPr>
        <a:xfrm>
          <a:off x="8193620" y="9371535"/>
          <a:ext cx="1975903" cy="98213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100" b="1" u="sng">
              <a:latin typeface="Arial" panose="020B0604020202020204" pitchFamily="34" charset="0"/>
              <a:cs typeface="Arial" panose="020B0604020202020204" pitchFamily="34" charset="0"/>
            </a:rPr>
            <a:t>Tingkat Kerusakan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Ringan	: ≤ 30%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Sedang	: &gt; 30% - 45%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Berat	: &gt; 45%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gus/Documents/Verifikasi%20dan%20Hasil%20Verifikasi%202011/Data%20rekap%20analisis%20tahap%203/Users/agus/Downloads/BlackBerry/&#916;%20Smad-Lock%20&#916;/Peraih%20Medali%20OSN%20SMA-MA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T O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D62"/>
  <sheetViews>
    <sheetView topLeftCell="A25" zoomScale="85" zoomScaleNormal="85" zoomScaleSheetLayoutView="25" workbookViewId="0">
      <selection activeCell="H18" sqref="H18"/>
    </sheetView>
  </sheetViews>
  <sheetFormatPr defaultColWidth="9.08984375" defaultRowHeight="14.5" x14ac:dyDescent="0.35"/>
  <cols>
    <col min="1" max="1" width="9.08984375" style="1"/>
    <col min="2" max="2" width="7.54296875" style="126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6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1" width="4.90625" style="1" bestFit="1" customWidth="1"/>
    <col min="22" max="22" width="6.5429687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8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8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12" t="s">
        <v>124</v>
      </c>
      <c r="C4" s="312"/>
      <c r="D4" s="94" t="s">
        <v>13</v>
      </c>
      <c r="E4" s="313" t="s">
        <v>125</v>
      </c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164"/>
      <c r="AA4" s="1"/>
      <c r="AB4" s="1"/>
      <c r="AC4" s="1"/>
      <c r="AD4" s="1"/>
    </row>
    <row r="5" spans="2:30" x14ac:dyDescent="0.35">
      <c r="B5" s="314" t="s">
        <v>127</v>
      </c>
      <c r="C5" s="314"/>
      <c r="D5" s="94" t="s">
        <v>13</v>
      </c>
      <c r="E5" s="118" t="s">
        <v>128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95"/>
    </row>
    <row r="6" spans="2:30" ht="18" customHeight="1" x14ac:dyDescent="0.35">
      <c r="B6" s="314" t="s">
        <v>14</v>
      </c>
      <c r="C6" s="314"/>
      <c r="D6" s="94" t="s">
        <v>13</v>
      </c>
      <c r="E6" s="315" t="s">
        <v>126</v>
      </c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95"/>
    </row>
    <row r="7" spans="2:30" ht="18" customHeight="1" x14ac:dyDescent="0.35">
      <c r="B7" s="314" t="s">
        <v>130</v>
      </c>
      <c r="C7" s="314"/>
      <c r="D7" s="94" t="s">
        <v>129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95"/>
    </row>
    <row r="8" spans="2:30" ht="18" customHeight="1" x14ac:dyDescent="0.35">
      <c r="B8" s="314" t="s">
        <v>15</v>
      </c>
      <c r="C8" s="314"/>
      <c r="D8" s="94" t="s">
        <v>13</v>
      </c>
      <c r="E8" s="315" t="s">
        <v>120</v>
      </c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95"/>
    </row>
    <row r="9" spans="2:30" ht="18" customHeight="1" x14ac:dyDescent="0.35">
      <c r="B9" s="314" t="s">
        <v>122</v>
      </c>
      <c r="C9" s="314"/>
      <c r="D9" s="94" t="s">
        <v>13</v>
      </c>
      <c r="E9" s="315" t="s">
        <v>123</v>
      </c>
      <c r="F9" s="315"/>
      <c r="G9" s="315"/>
      <c r="H9" s="97" t="s">
        <v>121</v>
      </c>
      <c r="I9" s="97"/>
      <c r="J9" s="318"/>
      <c r="K9" s="318"/>
      <c r="L9" s="318"/>
      <c r="M9" s="318"/>
      <c r="N9" s="318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95"/>
    </row>
    <row r="10" spans="2:30" ht="18" customHeight="1" x14ac:dyDescent="0.35">
      <c r="B10" s="314" t="s">
        <v>16</v>
      </c>
      <c r="C10" s="314"/>
      <c r="D10" s="94" t="s">
        <v>13</v>
      </c>
      <c r="E10" s="317"/>
      <c r="F10" s="317"/>
      <c r="G10" s="317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95"/>
    </row>
    <row r="11" spans="2:30" ht="18" customHeight="1" x14ac:dyDescent="0.35">
      <c r="B11" s="314" t="s">
        <v>20</v>
      </c>
      <c r="C11" s="314"/>
      <c r="D11" s="94" t="s">
        <v>13</v>
      </c>
      <c r="E11" s="118">
        <v>100</v>
      </c>
      <c r="F11" s="117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5">
        <v>1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4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77" t="s">
        <v>25</v>
      </c>
      <c r="C13" s="374" t="s">
        <v>147</v>
      </c>
      <c r="D13" s="374" t="s">
        <v>85</v>
      </c>
      <c r="E13" s="374"/>
      <c r="F13" s="371" t="s">
        <v>92</v>
      </c>
      <c r="G13" s="371" t="s">
        <v>152</v>
      </c>
      <c r="H13" s="365" t="s">
        <v>192</v>
      </c>
      <c r="I13" s="365" t="s">
        <v>171</v>
      </c>
      <c r="J13" s="382"/>
      <c r="K13" s="382"/>
      <c r="L13" s="382"/>
      <c r="M13" s="382"/>
      <c r="N13" s="382"/>
      <c r="O13" s="362"/>
      <c r="P13" s="357" t="s">
        <v>191</v>
      </c>
      <c r="Q13" s="358"/>
      <c r="R13" s="359"/>
      <c r="S13" s="359"/>
      <c r="T13" s="360"/>
      <c r="U13" s="360"/>
      <c r="V13" s="360"/>
      <c r="W13" s="361"/>
      <c r="X13" s="362" t="s">
        <v>156</v>
      </c>
      <c r="Y13" s="368" t="s">
        <v>222</v>
      </c>
      <c r="Z13" s="95"/>
    </row>
    <row r="14" spans="2:30" x14ac:dyDescent="0.35">
      <c r="B14" s="378"/>
      <c r="C14" s="375"/>
      <c r="D14" s="375"/>
      <c r="E14" s="375"/>
      <c r="F14" s="372"/>
      <c r="G14" s="372"/>
      <c r="H14" s="366"/>
      <c r="I14" s="383" t="s">
        <v>182</v>
      </c>
      <c r="J14" s="385" t="s">
        <v>188</v>
      </c>
      <c r="K14" s="385"/>
      <c r="L14" s="385"/>
      <c r="M14" s="385"/>
      <c r="N14" s="385"/>
      <c r="O14" s="384" t="s">
        <v>193</v>
      </c>
      <c r="P14" s="180"/>
      <c r="Q14" s="212"/>
      <c r="R14" s="213"/>
      <c r="S14" s="213"/>
      <c r="T14" s="214"/>
      <c r="U14" s="214"/>
      <c r="V14" s="213"/>
      <c r="W14" s="215"/>
      <c r="X14" s="363"/>
      <c r="Y14" s="369"/>
      <c r="Z14" s="95"/>
    </row>
    <row r="15" spans="2:30" ht="23" x14ac:dyDescent="0.35">
      <c r="B15" s="378"/>
      <c r="C15" s="375"/>
      <c r="D15" s="375"/>
      <c r="E15" s="375"/>
      <c r="F15" s="372"/>
      <c r="G15" s="372"/>
      <c r="H15" s="366"/>
      <c r="I15" s="383"/>
      <c r="J15" s="188" t="s">
        <v>183</v>
      </c>
      <c r="K15" s="188" t="s">
        <v>140</v>
      </c>
      <c r="L15" s="188" t="s">
        <v>142</v>
      </c>
      <c r="M15" s="188" t="s">
        <v>144</v>
      </c>
      <c r="N15" s="188" t="s">
        <v>184</v>
      </c>
      <c r="O15" s="384"/>
      <c r="P15" s="181">
        <v>1</v>
      </c>
      <c r="Q15" s="185">
        <v>2</v>
      </c>
      <c r="R15" s="186">
        <v>3</v>
      </c>
      <c r="S15" s="186">
        <v>4</v>
      </c>
      <c r="T15" s="186">
        <v>5</v>
      </c>
      <c r="U15" s="187">
        <v>6</v>
      </c>
      <c r="V15" s="186">
        <v>7</v>
      </c>
      <c r="W15" s="380" t="s">
        <v>161</v>
      </c>
      <c r="X15" s="363"/>
      <c r="Y15" s="369"/>
      <c r="Z15" s="95"/>
    </row>
    <row r="16" spans="2:30" x14ac:dyDescent="0.35">
      <c r="B16" s="379"/>
      <c r="C16" s="376"/>
      <c r="D16" s="376"/>
      <c r="E16" s="376"/>
      <c r="F16" s="373"/>
      <c r="G16" s="373"/>
      <c r="H16" s="367"/>
      <c r="I16" s="190">
        <v>1</v>
      </c>
      <c r="J16" s="188">
        <v>2</v>
      </c>
      <c r="K16" s="188">
        <v>3</v>
      </c>
      <c r="L16" s="188">
        <v>4</v>
      </c>
      <c r="M16" s="188">
        <v>5</v>
      </c>
      <c r="N16" s="188">
        <v>6</v>
      </c>
      <c r="O16" s="182">
        <v>7</v>
      </c>
      <c r="P16" s="183">
        <v>0</v>
      </c>
      <c r="Q16" s="165">
        <v>0.2</v>
      </c>
      <c r="R16" s="165">
        <v>0.35</v>
      </c>
      <c r="S16" s="165">
        <v>0.5</v>
      </c>
      <c r="T16" s="165">
        <v>0.7</v>
      </c>
      <c r="U16" s="165">
        <v>0.85</v>
      </c>
      <c r="V16" s="165">
        <v>1</v>
      </c>
      <c r="W16" s="381"/>
      <c r="X16" s="364"/>
      <c r="Y16" s="370"/>
      <c r="Z16" s="95"/>
    </row>
    <row r="17" spans="1:30" s="154" customFormat="1" ht="11.25" customHeight="1" thickBot="1" x14ac:dyDescent="0.4">
      <c r="B17" s="151" t="s">
        <v>38</v>
      </c>
      <c r="C17" s="152" t="s">
        <v>39</v>
      </c>
      <c r="D17" s="328" t="s">
        <v>40</v>
      </c>
      <c r="E17" s="329"/>
      <c r="F17" s="153" t="s">
        <v>41</v>
      </c>
      <c r="G17" s="152" t="s">
        <v>42</v>
      </c>
      <c r="H17" s="197" t="s">
        <v>43</v>
      </c>
      <c r="I17" s="191" t="s">
        <v>189</v>
      </c>
      <c r="J17" s="191" t="s">
        <v>91</v>
      </c>
      <c r="K17" s="192" t="s">
        <v>162</v>
      </c>
      <c r="L17" s="192" t="s">
        <v>163</v>
      </c>
      <c r="M17" s="192" t="s">
        <v>172</v>
      </c>
      <c r="N17" s="192" t="s">
        <v>173</v>
      </c>
      <c r="O17" s="193" t="s">
        <v>174</v>
      </c>
      <c r="P17" s="211" t="s">
        <v>175</v>
      </c>
      <c r="Q17" s="191" t="s">
        <v>176</v>
      </c>
      <c r="R17" s="192" t="s">
        <v>177</v>
      </c>
      <c r="S17" s="192" t="s">
        <v>178</v>
      </c>
      <c r="T17" s="192" t="s">
        <v>179</v>
      </c>
      <c r="U17" s="196" t="s">
        <v>180</v>
      </c>
      <c r="V17" s="196" t="s">
        <v>181</v>
      </c>
      <c r="W17" s="193" t="s">
        <v>185</v>
      </c>
      <c r="X17" s="200" t="s">
        <v>187</v>
      </c>
      <c r="Y17" s="178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356" t="s">
        <v>202</v>
      </c>
      <c r="E18" s="356"/>
      <c r="F18" s="142" t="s">
        <v>196</v>
      </c>
      <c r="G18" s="172"/>
      <c r="H18" s="240" t="s">
        <v>90</v>
      </c>
      <c r="I18" s="341" t="s">
        <v>218</v>
      </c>
      <c r="J18" s="342"/>
      <c r="K18" s="342"/>
      <c r="L18" s="342"/>
      <c r="M18" s="342"/>
      <c r="N18" s="342"/>
      <c r="O18" s="343"/>
      <c r="P18" s="273"/>
      <c r="Q18" s="274"/>
      <c r="R18" s="274"/>
      <c r="S18" s="274"/>
      <c r="T18" s="274"/>
      <c r="U18" s="274"/>
      <c r="V18" s="275"/>
      <c r="W18" s="226">
        <f>VLOOKUP(I18,Sheet5!B12:C18,2,FALSE)</f>
        <v>0</v>
      </c>
      <c r="X18" s="242">
        <v>0.12</v>
      </c>
      <c r="Y18" s="176">
        <f>W18*X18</f>
        <v>0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330" t="s">
        <v>154</v>
      </c>
      <c r="E19" s="330"/>
      <c r="F19" s="85" t="s">
        <v>86</v>
      </c>
      <c r="G19" s="261">
        <v>10</v>
      </c>
      <c r="H19" s="241"/>
      <c r="I19" s="203"/>
      <c r="J19" s="166"/>
      <c r="K19" s="166"/>
      <c r="L19" s="166"/>
      <c r="M19" s="166"/>
      <c r="N19" s="166"/>
      <c r="O19" s="204"/>
      <c r="P19" s="220">
        <f>I19/G19*$P$16</f>
        <v>0</v>
      </c>
      <c r="Q19" s="221">
        <f>J19/G19*$Q$16</f>
        <v>0</v>
      </c>
      <c r="R19" s="221">
        <f>K19/G19*$R$16</f>
        <v>0</v>
      </c>
      <c r="S19" s="221">
        <f>L19/G19*$S$16</f>
        <v>0</v>
      </c>
      <c r="T19" s="221">
        <f>M19/G19*$T$16</f>
        <v>0</v>
      </c>
      <c r="U19" s="221">
        <f>N19/G19*$U$16</f>
        <v>0</v>
      </c>
      <c r="V19" s="221">
        <f>O19/G19*$V$16</f>
        <v>0</v>
      </c>
      <c r="W19" s="227">
        <f>SUM(P19:V19)</f>
        <v>0</v>
      </c>
      <c r="X19" s="243">
        <v>0.1</v>
      </c>
      <c r="Y19" s="177">
        <f t="shared" ref="Y19:Y33" si="0">W19*X19</f>
        <v>0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330" t="s">
        <v>155</v>
      </c>
      <c r="E20" s="330"/>
      <c r="F20" s="85" t="s">
        <v>86</v>
      </c>
      <c r="G20" s="261">
        <v>4</v>
      </c>
      <c r="H20" s="241"/>
      <c r="I20" s="203"/>
      <c r="J20" s="166"/>
      <c r="K20" s="166"/>
      <c r="L20" s="166"/>
      <c r="M20" s="166"/>
      <c r="N20" s="166"/>
      <c r="O20" s="204"/>
      <c r="P20" s="220">
        <f t="shared" ref="P20:P27" si="1">I20/G20*$P$16</f>
        <v>0</v>
      </c>
      <c r="Q20" s="221">
        <f t="shared" ref="Q20:Q27" si="2">J20/G20*$Q$16</f>
        <v>0</v>
      </c>
      <c r="R20" s="221">
        <f t="shared" ref="R20:R27" si="3">K20/G20*$R$16</f>
        <v>0</v>
      </c>
      <c r="S20" s="221">
        <f t="shared" ref="S20:S27" si="4">L20/G20*$S$16</f>
        <v>0</v>
      </c>
      <c r="T20" s="221">
        <f t="shared" ref="T20:T27" si="5">M20/G20*$T$16</f>
        <v>0</v>
      </c>
      <c r="U20" s="221">
        <f t="shared" ref="U20:U27" si="6">N20/G20*$U$16</f>
        <v>0</v>
      </c>
      <c r="V20" s="221">
        <f t="shared" ref="V20:V27" si="7">O20/G20*$V$16</f>
        <v>0</v>
      </c>
      <c r="W20" s="227">
        <f t="shared" ref="W20:W27" si="8">SUM(P20:V20)</f>
        <v>0</v>
      </c>
      <c r="X20" s="243">
        <v>0.08</v>
      </c>
      <c r="Y20" s="177">
        <f t="shared" si="0"/>
        <v>0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 t="s">
        <v>65</v>
      </c>
      <c r="C21" s="218"/>
      <c r="D21" s="327" t="s">
        <v>194</v>
      </c>
      <c r="E21" s="327"/>
      <c r="F21" s="248" t="s">
        <v>117</v>
      </c>
      <c r="G21" s="174">
        <v>100</v>
      </c>
      <c r="H21" s="249" t="s">
        <v>90</v>
      </c>
      <c r="I21" s="229"/>
      <c r="J21" s="230"/>
      <c r="K21" s="230"/>
      <c r="L21" s="230"/>
      <c r="M21" s="230"/>
      <c r="N21" s="230"/>
      <c r="O21" s="231"/>
      <c r="P21" s="250">
        <f>I21/G21*100*$P$16</f>
        <v>0</v>
      </c>
      <c r="Q21" s="251">
        <f>J21/G21*100*$Q$16</f>
        <v>0</v>
      </c>
      <c r="R21" s="251">
        <f>K21/G21*100*$R$16</f>
        <v>0</v>
      </c>
      <c r="S21" s="251">
        <f>L21/G21*100*$S$16</f>
        <v>0</v>
      </c>
      <c r="T21" s="251">
        <f>M21/G21*100*$T$16</f>
        <v>0</v>
      </c>
      <c r="U21" s="251">
        <f>N21/G21*100*$U$16</f>
        <v>0</v>
      </c>
      <c r="V21" s="251">
        <f>O21/G21*100*$V$16</f>
        <v>0</v>
      </c>
      <c r="W21" s="252">
        <f t="shared" si="8"/>
        <v>0</v>
      </c>
      <c r="X21" s="253">
        <v>7.0000000000000007E-2</v>
      </c>
      <c r="Y21" s="254">
        <f t="shared" si="0"/>
        <v>0</v>
      </c>
      <c r="Z21" s="95"/>
      <c r="AA21" s="1"/>
      <c r="AB21" s="1"/>
      <c r="AC21" s="1"/>
      <c r="AD21" s="1"/>
    </row>
    <row r="22" spans="1:30" ht="36" customHeight="1" x14ac:dyDescent="0.35">
      <c r="B22" s="145">
        <v>2</v>
      </c>
      <c r="C22" s="82" t="s">
        <v>149</v>
      </c>
      <c r="D22" s="356" t="s">
        <v>150</v>
      </c>
      <c r="E22" s="356"/>
      <c r="F22" s="142" t="s">
        <v>117</v>
      </c>
      <c r="G22" s="232">
        <v>100</v>
      </c>
      <c r="H22" s="240" t="s">
        <v>90</v>
      </c>
      <c r="I22" s="280"/>
      <c r="J22" s="281"/>
      <c r="K22" s="281"/>
      <c r="L22" s="281"/>
      <c r="M22" s="281"/>
      <c r="N22" s="281"/>
      <c r="O22" s="282"/>
      <c r="P22" s="234">
        <f>I22/G22*100*$P$16</f>
        <v>0</v>
      </c>
      <c r="Q22" s="235">
        <f>J22/G22*100*$Q$16</f>
        <v>0</v>
      </c>
      <c r="R22" s="235">
        <f>K22/G22*100*$R$16</f>
        <v>0</v>
      </c>
      <c r="S22" s="235">
        <f>L22/G22*100*$S$16</f>
        <v>0</v>
      </c>
      <c r="T22" s="235">
        <f>M22/G22*100*$T$16</f>
        <v>0</v>
      </c>
      <c r="U22" s="235">
        <f>N22/G22*100*$U$16</f>
        <v>0</v>
      </c>
      <c r="V22" s="235">
        <f>O22/G22*100*$V$16</f>
        <v>0</v>
      </c>
      <c r="W22" s="236">
        <f t="shared" ref="W22:W24" si="9">SUM(P22:V22)</f>
        <v>0</v>
      </c>
      <c r="X22" s="242">
        <v>0.215</v>
      </c>
      <c r="Y22" s="176">
        <f t="shared" si="0"/>
        <v>0</v>
      </c>
      <c r="Z22" s="95"/>
    </row>
    <row r="23" spans="1:30" x14ac:dyDescent="0.35">
      <c r="B23" s="148"/>
      <c r="C23" s="84"/>
      <c r="D23" s="309" t="s">
        <v>160</v>
      </c>
      <c r="E23" s="309"/>
      <c r="F23" s="143" t="s">
        <v>117</v>
      </c>
      <c r="G23" s="172">
        <v>100</v>
      </c>
      <c r="H23" s="198"/>
      <c r="I23" s="207"/>
      <c r="J23" s="168"/>
      <c r="K23" s="168"/>
      <c r="L23" s="168"/>
      <c r="M23" s="168"/>
      <c r="N23" s="168"/>
      <c r="O23" s="208"/>
      <c r="P23" s="220">
        <f>I23/G23*100*$P$16</f>
        <v>0</v>
      </c>
      <c r="Q23" s="221">
        <f>J23/G23*100*$Q$16</f>
        <v>0</v>
      </c>
      <c r="R23" s="221">
        <f>K23/G23*100*$R$16</f>
        <v>0</v>
      </c>
      <c r="S23" s="221">
        <f>L23/G23*100*$S$16</f>
        <v>0</v>
      </c>
      <c r="T23" s="221">
        <f>M23/G23*100*$T$16</f>
        <v>0</v>
      </c>
      <c r="U23" s="221">
        <f>N23/G23*100*$U$16</f>
        <v>0</v>
      </c>
      <c r="V23" s="221">
        <f>O23/G23*100*$V$16</f>
        <v>0</v>
      </c>
      <c r="W23" s="227">
        <f t="shared" si="9"/>
        <v>0</v>
      </c>
      <c r="X23" s="243">
        <v>0.1</v>
      </c>
      <c r="Y23" s="177">
        <f t="shared" si="0"/>
        <v>0</v>
      </c>
      <c r="Z23" s="95"/>
    </row>
    <row r="24" spans="1:30" ht="36" customHeight="1" x14ac:dyDescent="0.35">
      <c r="B24" s="148"/>
      <c r="D24" s="309" t="s">
        <v>151</v>
      </c>
      <c r="E24" s="309"/>
      <c r="F24" s="143" t="s">
        <v>117</v>
      </c>
      <c r="G24" s="172">
        <v>100</v>
      </c>
      <c r="H24" s="198"/>
      <c r="I24" s="207"/>
      <c r="J24" s="168"/>
      <c r="K24" s="168"/>
      <c r="L24" s="168"/>
      <c r="M24" s="168"/>
      <c r="N24" s="168"/>
      <c r="O24" s="208"/>
      <c r="P24" s="220">
        <f>I24/G24*100*$P$16</f>
        <v>0</v>
      </c>
      <c r="Q24" s="221">
        <f>J24/G24*100*$Q$16</f>
        <v>0</v>
      </c>
      <c r="R24" s="221">
        <f>K24/G24*100*$R$16</f>
        <v>0</v>
      </c>
      <c r="S24" s="221">
        <f>L24/G24*100*$S$16</f>
        <v>0</v>
      </c>
      <c r="T24" s="221">
        <f>M24/G24*100*$T$16</f>
        <v>0</v>
      </c>
      <c r="U24" s="221">
        <f>N24/G24*100*$U$16</f>
        <v>0</v>
      </c>
      <c r="V24" s="221">
        <f>O24/G24*100*$V$16</f>
        <v>0</v>
      </c>
      <c r="W24" s="227">
        <f t="shared" si="9"/>
        <v>0</v>
      </c>
      <c r="X24" s="243">
        <v>0.14499999999999999</v>
      </c>
      <c r="Y24" s="177">
        <f t="shared" si="0"/>
        <v>0</v>
      </c>
      <c r="Z24" s="95"/>
    </row>
    <row r="25" spans="1:30" ht="36" customHeight="1" x14ac:dyDescent="0.35">
      <c r="B25" s="148"/>
      <c r="C25" s="84"/>
      <c r="D25" s="309" t="s">
        <v>201</v>
      </c>
      <c r="E25" s="309"/>
      <c r="F25" s="143" t="s">
        <v>86</v>
      </c>
      <c r="G25" s="261">
        <v>1</v>
      </c>
      <c r="H25" s="198"/>
      <c r="I25" s="203"/>
      <c r="J25" s="166"/>
      <c r="K25" s="166"/>
      <c r="L25" s="166"/>
      <c r="M25" s="166"/>
      <c r="N25" s="166"/>
      <c r="O25" s="204"/>
      <c r="P25" s="220">
        <f t="shared" si="1"/>
        <v>0</v>
      </c>
      <c r="Q25" s="221">
        <f t="shared" si="2"/>
        <v>0</v>
      </c>
      <c r="R25" s="221">
        <f t="shared" si="3"/>
        <v>0</v>
      </c>
      <c r="S25" s="221">
        <f t="shared" si="4"/>
        <v>0</v>
      </c>
      <c r="T25" s="221">
        <f t="shared" si="5"/>
        <v>0</v>
      </c>
      <c r="U25" s="221">
        <f t="shared" si="6"/>
        <v>0</v>
      </c>
      <c r="V25" s="221">
        <f t="shared" si="7"/>
        <v>0</v>
      </c>
      <c r="W25" s="227">
        <f t="shared" si="8"/>
        <v>0</v>
      </c>
      <c r="X25" s="243">
        <v>0.01</v>
      </c>
      <c r="Y25" s="177">
        <f t="shared" si="0"/>
        <v>0</v>
      </c>
      <c r="Z25" s="95"/>
    </row>
    <row r="26" spans="1:30" ht="36" customHeight="1" x14ac:dyDescent="0.35">
      <c r="B26" s="148"/>
      <c r="C26" s="84"/>
      <c r="D26" s="309" t="s">
        <v>61</v>
      </c>
      <c r="E26" s="309"/>
      <c r="F26" s="143" t="s">
        <v>86</v>
      </c>
      <c r="G26" s="261">
        <v>1</v>
      </c>
      <c r="H26" s="198"/>
      <c r="I26" s="203"/>
      <c r="J26" s="166"/>
      <c r="K26" s="166"/>
      <c r="L26" s="166"/>
      <c r="M26" s="166"/>
      <c r="N26" s="166"/>
      <c r="O26" s="204"/>
      <c r="P26" s="220">
        <f t="shared" si="1"/>
        <v>0</v>
      </c>
      <c r="Q26" s="221">
        <f t="shared" si="2"/>
        <v>0</v>
      </c>
      <c r="R26" s="221">
        <f t="shared" si="3"/>
        <v>0</v>
      </c>
      <c r="S26" s="221">
        <f t="shared" si="4"/>
        <v>0</v>
      </c>
      <c r="T26" s="221">
        <f t="shared" si="5"/>
        <v>0</v>
      </c>
      <c r="U26" s="221">
        <f t="shared" si="6"/>
        <v>0</v>
      </c>
      <c r="V26" s="221">
        <f t="shared" si="7"/>
        <v>0</v>
      </c>
      <c r="W26" s="227">
        <f t="shared" si="8"/>
        <v>0</v>
      </c>
      <c r="X26" s="243">
        <v>1.4999999999999999E-2</v>
      </c>
      <c r="Y26" s="177">
        <f t="shared" si="0"/>
        <v>0</v>
      </c>
      <c r="Z26" s="95"/>
    </row>
    <row r="27" spans="1:30" ht="36" customHeight="1" x14ac:dyDescent="0.35">
      <c r="B27" s="148"/>
      <c r="C27" s="84"/>
      <c r="D27" s="309" t="s">
        <v>157</v>
      </c>
      <c r="E27" s="309"/>
      <c r="F27" s="143" t="s">
        <v>86</v>
      </c>
      <c r="G27" s="261">
        <v>1</v>
      </c>
      <c r="H27" s="198"/>
      <c r="I27" s="203"/>
      <c r="J27" s="166"/>
      <c r="K27" s="166"/>
      <c r="L27" s="166"/>
      <c r="M27" s="166"/>
      <c r="N27" s="166"/>
      <c r="O27" s="204"/>
      <c r="P27" s="220">
        <f t="shared" si="1"/>
        <v>0</v>
      </c>
      <c r="Q27" s="221">
        <f t="shared" si="2"/>
        <v>0</v>
      </c>
      <c r="R27" s="221">
        <f t="shared" si="3"/>
        <v>0</v>
      </c>
      <c r="S27" s="221">
        <f t="shared" si="4"/>
        <v>0</v>
      </c>
      <c r="T27" s="221">
        <f t="shared" si="5"/>
        <v>0</v>
      </c>
      <c r="U27" s="221">
        <f t="shared" si="6"/>
        <v>0</v>
      </c>
      <c r="V27" s="221">
        <f t="shared" si="7"/>
        <v>0</v>
      </c>
      <c r="W27" s="227">
        <f t="shared" si="8"/>
        <v>0</v>
      </c>
      <c r="X27" s="243">
        <v>0.02</v>
      </c>
      <c r="Y27" s="177">
        <f t="shared" si="0"/>
        <v>0</v>
      </c>
      <c r="Z27" s="95"/>
    </row>
    <row r="28" spans="1:30" x14ac:dyDescent="0.35">
      <c r="B28" s="148"/>
      <c r="C28" s="84"/>
      <c r="D28" s="309" t="s">
        <v>158</v>
      </c>
      <c r="E28" s="309"/>
      <c r="F28" s="143" t="s">
        <v>117</v>
      </c>
      <c r="G28" s="172">
        <v>100</v>
      </c>
      <c r="H28" s="198"/>
      <c r="I28" s="207"/>
      <c r="J28" s="168"/>
      <c r="K28" s="168"/>
      <c r="L28" s="168"/>
      <c r="M28" s="168"/>
      <c r="N28" s="168"/>
      <c r="O28" s="208"/>
      <c r="P28" s="220">
        <f>I28/G28*100*$P$16</f>
        <v>0</v>
      </c>
      <c r="Q28" s="221">
        <f>J28/G28*100*$Q$16</f>
        <v>0</v>
      </c>
      <c r="R28" s="221">
        <f>K28/G28*100*$R$16</f>
        <v>0</v>
      </c>
      <c r="S28" s="221">
        <f>L28/G28*100*$S$16</f>
        <v>0</v>
      </c>
      <c r="T28" s="221">
        <f>M28/G28*100*$T$16</f>
        <v>0</v>
      </c>
      <c r="U28" s="221">
        <f>N28/G28*100*$U$16</f>
        <v>0</v>
      </c>
      <c r="V28" s="221">
        <f>O28/G28*100*$V$16</f>
        <v>0</v>
      </c>
      <c r="W28" s="227">
        <f t="shared" ref="W28:W30" si="10">SUM(P28:V28)</f>
        <v>0</v>
      </c>
      <c r="X28" s="243">
        <v>0.03</v>
      </c>
      <c r="Y28" s="177">
        <f t="shared" si="0"/>
        <v>0</v>
      </c>
      <c r="Z28" s="95"/>
    </row>
    <row r="29" spans="1:30" x14ac:dyDescent="0.35">
      <c r="B29" s="148"/>
      <c r="C29" s="84"/>
      <c r="D29" s="309" t="s">
        <v>73</v>
      </c>
      <c r="E29" s="309"/>
      <c r="F29" s="143" t="s">
        <v>117</v>
      </c>
      <c r="G29" s="172">
        <v>100</v>
      </c>
      <c r="H29" s="198"/>
      <c r="I29" s="207"/>
      <c r="J29" s="168"/>
      <c r="K29" s="168"/>
      <c r="L29" s="168"/>
      <c r="M29" s="168"/>
      <c r="N29" s="168"/>
      <c r="O29" s="208"/>
      <c r="P29" s="220">
        <f>I29/G29*100*$P$16</f>
        <v>0</v>
      </c>
      <c r="Q29" s="221">
        <f>J29/G29*100*$Q$16</f>
        <v>0</v>
      </c>
      <c r="R29" s="221">
        <f>K29/G29*100*$R$16</f>
        <v>0</v>
      </c>
      <c r="S29" s="221">
        <f>L29/G29*100*$S$16</f>
        <v>0</v>
      </c>
      <c r="T29" s="221">
        <f>M29/G29*100*$T$16</f>
        <v>0</v>
      </c>
      <c r="U29" s="221">
        <f>N29/G29*100*$U$16</f>
        <v>0</v>
      </c>
      <c r="V29" s="221">
        <f>O29/G29*100*$V$16</f>
        <v>0</v>
      </c>
      <c r="W29" s="227">
        <f t="shared" si="10"/>
        <v>0</v>
      </c>
      <c r="X29" s="243">
        <v>0.04</v>
      </c>
      <c r="Y29" s="177">
        <f t="shared" si="0"/>
        <v>0</v>
      </c>
      <c r="Z29" s="95"/>
    </row>
    <row r="30" spans="1:30" x14ac:dyDescent="0.35">
      <c r="A30" s="109"/>
      <c r="B30" s="175"/>
      <c r="C30" s="79"/>
      <c r="D30" s="310" t="s">
        <v>159</v>
      </c>
      <c r="E30" s="310"/>
      <c r="F30" s="262" t="s">
        <v>117</v>
      </c>
      <c r="G30" s="263">
        <v>100</v>
      </c>
      <c r="H30" s="264"/>
      <c r="I30" s="265"/>
      <c r="J30" s="266"/>
      <c r="K30" s="266"/>
      <c r="L30" s="266"/>
      <c r="M30" s="266"/>
      <c r="N30" s="266"/>
      <c r="O30" s="267"/>
      <c r="P30" s="268">
        <f>I30/G30*100*$P$16</f>
        <v>0</v>
      </c>
      <c r="Q30" s="269">
        <f>J30/G30*100*$Q$16</f>
        <v>0</v>
      </c>
      <c r="R30" s="269">
        <f>K30/G30*100*$R$16</f>
        <v>0</v>
      </c>
      <c r="S30" s="269">
        <f>L30/G30*100*$S$16</f>
        <v>0</v>
      </c>
      <c r="T30" s="269">
        <f>M30/G30*100*$T$16</f>
        <v>0</v>
      </c>
      <c r="U30" s="269">
        <f>N30/G30*100*$U$16</f>
        <v>0</v>
      </c>
      <c r="V30" s="269">
        <f>O30/G30*100*$V$16</f>
        <v>0</v>
      </c>
      <c r="W30" s="270">
        <f t="shared" si="10"/>
        <v>0</v>
      </c>
      <c r="X30" s="271">
        <v>0.02</v>
      </c>
      <c r="Y30" s="272">
        <f t="shared" si="0"/>
        <v>0</v>
      </c>
      <c r="Z30" s="95"/>
    </row>
    <row r="31" spans="1:30" ht="36" customHeight="1" x14ac:dyDescent="0.35">
      <c r="B31" s="145">
        <v>3</v>
      </c>
      <c r="C31" s="82" t="s">
        <v>66</v>
      </c>
      <c r="D31" s="311" t="s">
        <v>67</v>
      </c>
      <c r="E31" s="311"/>
      <c r="F31" s="149" t="s">
        <v>196</v>
      </c>
      <c r="G31" s="173"/>
      <c r="H31" s="222"/>
      <c r="I31" s="344" t="s">
        <v>204</v>
      </c>
      <c r="J31" s="345"/>
      <c r="K31" s="345"/>
      <c r="L31" s="345"/>
      <c r="M31" s="345"/>
      <c r="N31" s="345"/>
      <c r="O31" s="346"/>
      <c r="P31" s="350"/>
      <c r="Q31" s="351"/>
      <c r="R31" s="351"/>
      <c r="S31" s="351"/>
      <c r="T31" s="351"/>
      <c r="U31" s="351"/>
      <c r="V31" s="352"/>
      <c r="W31" s="226">
        <f>VLOOKUP(I31,Sheet5!B3:C9,2,FALSE)</f>
        <v>0</v>
      </c>
      <c r="X31" s="244">
        <v>0.01</v>
      </c>
      <c r="Y31" s="223">
        <f t="shared" si="0"/>
        <v>0</v>
      </c>
      <c r="Z31" s="95"/>
    </row>
    <row r="32" spans="1:30" ht="36" customHeight="1" x14ac:dyDescent="0.35">
      <c r="B32" s="148"/>
      <c r="C32" s="84"/>
      <c r="D32" s="309" t="s">
        <v>195</v>
      </c>
      <c r="E32" s="309"/>
      <c r="F32" s="143" t="s">
        <v>196</v>
      </c>
      <c r="G32" s="172"/>
      <c r="H32" s="198"/>
      <c r="I32" s="347" t="s">
        <v>211</v>
      </c>
      <c r="J32" s="348"/>
      <c r="K32" s="348"/>
      <c r="L32" s="348"/>
      <c r="M32" s="348"/>
      <c r="N32" s="348"/>
      <c r="O32" s="349"/>
      <c r="P32" s="353"/>
      <c r="Q32" s="354"/>
      <c r="R32" s="354"/>
      <c r="S32" s="354"/>
      <c r="T32" s="354"/>
      <c r="U32" s="354"/>
      <c r="V32" s="355"/>
      <c r="W32" s="227">
        <f>VLOOKUP(I32,Sheet5!B21:C27,2,FALSE)</f>
        <v>0</v>
      </c>
      <c r="X32" s="243">
        <v>0.01</v>
      </c>
      <c r="Y32" s="177">
        <f t="shared" si="0"/>
        <v>0</v>
      </c>
      <c r="Z32" s="95"/>
    </row>
    <row r="33" spans="2:26" ht="15" thickBot="1" x14ac:dyDescent="0.4">
      <c r="B33" s="175"/>
      <c r="C33" s="79"/>
      <c r="D33" s="308" t="s">
        <v>198</v>
      </c>
      <c r="E33" s="308"/>
      <c r="F33" s="238" t="s">
        <v>203</v>
      </c>
      <c r="G33" s="239">
        <v>1</v>
      </c>
      <c r="H33" s="199"/>
      <c r="I33" s="209"/>
      <c r="J33" s="169"/>
      <c r="K33" s="169"/>
      <c r="L33" s="169"/>
      <c r="M33" s="169"/>
      <c r="N33" s="169"/>
      <c r="O33" s="210"/>
      <c r="P33" s="276">
        <f t="shared" ref="P33" si="11">I33/G33*$P$16</f>
        <v>0</v>
      </c>
      <c r="Q33" s="277">
        <f t="shared" ref="Q33" si="12">J33/G33*$Q$16</f>
        <v>0</v>
      </c>
      <c r="R33" s="277">
        <f t="shared" ref="R33" si="13">K33/G33*$R$16</f>
        <v>0</v>
      </c>
      <c r="S33" s="277">
        <f t="shared" ref="S33" si="14">L33/G33*$S$16</f>
        <v>0</v>
      </c>
      <c r="T33" s="277">
        <f t="shared" ref="T33" si="15">M33/G33*$T$16</f>
        <v>0</v>
      </c>
      <c r="U33" s="277">
        <f t="shared" ref="U33" si="16">N33/G33*$U$16</f>
        <v>0</v>
      </c>
      <c r="V33" s="277">
        <f t="shared" ref="V33" si="17">O33/G33*$V$16</f>
        <v>0</v>
      </c>
      <c r="W33" s="278">
        <f t="shared" ref="W33" si="18">SUM(P33:V33)</f>
        <v>0</v>
      </c>
      <c r="X33" s="245">
        <v>1.4999999999999999E-2</v>
      </c>
      <c r="Y33" s="279">
        <f t="shared" si="0"/>
        <v>0</v>
      </c>
      <c r="Z33" s="95"/>
    </row>
    <row r="34" spans="2:26" ht="28.5" customHeight="1" thickBot="1" x14ac:dyDescent="0.4">
      <c r="B34" s="146"/>
      <c r="C34" s="147"/>
      <c r="D34" s="147"/>
      <c r="E34" s="147"/>
      <c r="F34" s="144"/>
      <c r="G34" s="144"/>
      <c r="H34" s="225" t="str">
        <f>IF(H18=Sheet1!G5,"Rusak Berat",IF(H19=Sheet1!G5,"Rusak Berat",IF(H20=Sheet1!G5,"Rusak Berat",IF(H21=Sheet1!G5,"Rusak Berat",IF(H22=Sheet1!G5,"Rusak Berat",IF(H18=Sheet1!G6,"Hitung Kerusakan",IF(H19=Sheet1!G6,"Hitung Kerusakan",IF(H20=Sheet1!G6,"Hitung Kerusakan",IF(H21=Sheet1!G6,"Hitung Kerusakan","Cek Kerusakan Komponen Lain")))))))))</f>
        <v>Cek Kerusakan Komponen Lain</v>
      </c>
      <c r="I34" s="259"/>
      <c r="J34" s="147"/>
      <c r="K34" s="147"/>
      <c r="L34" s="147"/>
      <c r="M34" s="147"/>
      <c r="N34" s="147"/>
      <c r="O34" s="260"/>
      <c r="P34" s="339" t="s">
        <v>223</v>
      </c>
      <c r="Q34" s="339"/>
      <c r="R34" s="339"/>
      <c r="S34" s="339"/>
      <c r="T34" s="339"/>
      <c r="U34" s="339"/>
      <c r="V34" s="339"/>
      <c r="W34" s="339"/>
      <c r="X34" s="340"/>
      <c r="Y34" s="155">
        <f>SUM(Y18:Y33)</f>
        <v>0</v>
      </c>
      <c r="Z34" s="95"/>
    </row>
    <row r="35" spans="2:26" ht="15" thickBot="1" x14ac:dyDescent="0.4">
      <c r="B35" s="93"/>
      <c r="C35" s="89"/>
      <c r="D35" s="89"/>
      <c r="E35" s="89"/>
      <c r="F35" s="90"/>
      <c r="G35" s="93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95"/>
    </row>
    <row r="36" spans="2:26" ht="42.75" customHeight="1" thickBot="1" x14ac:dyDescent="0.4">
      <c r="B36" s="93"/>
      <c r="C36" s="89"/>
      <c r="D36" s="89"/>
      <c r="E36" s="89"/>
      <c r="F36" s="90"/>
      <c r="G36" s="93"/>
      <c r="H36" s="89"/>
      <c r="I36" s="89"/>
      <c r="J36" s="89"/>
      <c r="K36" s="89"/>
      <c r="L36" s="89"/>
      <c r="M36" s="89"/>
      <c r="N36" s="89"/>
      <c r="O36" s="89"/>
      <c r="P36" s="336" t="s">
        <v>224</v>
      </c>
      <c r="Q36" s="337"/>
      <c r="R36" s="337"/>
      <c r="S36" s="337"/>
      <c r="T36" s="337"/>
      <c r="U36" s="337"/>
      <c r="V36" s="337"/>
      <c r="W36" s="337"/>
      <c r="X36" s="338"/>
      <c r="Y36" s="216" t="str">
        <f>IF(H34="Rusak Berat","Rusak Berat",Y37)</f>
        <v>Tidak Ada Kerusakan</v>
      </c>
      <c r="Z36" s="95"/>
    </row>
    <row r="37" spans="2:26" hidden="1" x14ac:dyDescent="0.35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08"/>
      <c r="U37" s="89"/>
      <c r="V37" s="89"/>
      <c r="W37" s="89"/>
      <c r="X37" s="89"/>
      <c r="Y37" s="156" t="str">
        <f>IF(Y34=0,"Tidak Ada Kerusakan",IF(Y34&lt;=0.3,"Rusak Ringan",IF(Y34&gt;0.45,"Rusak Berat","Rusak Sedang")))</f>
        <v>Tidak Ada Kerusakan</v>
      </c>
      <c r="Z37" s="95"/>
    </row>
    <row r="38" spans="2:26" ht="15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95"/>
    </row>
    <row r="39" spans="2:26" ht="15" thickTop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331" t="s">
        <v>76</v>
      </c>
      <c r="X39" s="332"/>
      <c r="Y39" s="333"/>
      <c r="Z39" s="95"/>
    </row>
    <row r="40" spans="2:26" ht="21.75" customHeight="1" thickBot="1" x14ac:dyDescent="0.4">
      <c r="B40" s="125"/>
      <c r="C40" s="103"/>
      <c r="D40" s="103"/>
      <c r="E40" s="103"/>
      <c r="F40" s="103"/>
      <c r="G40" s="127"/>
      <c r="H40" s="103"/>
      <c r="I40" s="103"/>
      <c r="J40" s="103"/>
      <c r="K40" s="103"/>
      <c r="L40" s="103"/>
      <c r="M40" s="103"/>
      <c r="N40" s="89"/>
      <c r="O40" s="89"/>
      <c r="P40" s="89"/>
      <c r="Q40" s="89"/>
      <c r="R40" s="89"/>
      <c r="S40" s="89"/>
      <c r="T40" s="89"/>
      <c r="U40" s="89"/>
      <c r="V40" s="89"/>
      <c r="W40" s="133" t="s">
        <v>140</v>
      </c>
      <c r="Y40" s="134" t="s">
        <v>141</v>
      </c>
      <c r="Z40" s="95"/>
    </row>
    <row r="41" spans="2:26" ht="20" customHeight="1" x14ac:dyDescent="0.35">
      <c r="B41" s="334" t="s">
        <v>78</v>
      </c>
      <c r="C41" s="335"/>
      <c r="D41" s="335"/>
      <c r="E41" s="335"/>
      <c r="F41" s="335"/>
      <c r="G41" s="335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60"/>
      <c r="U41" s="89"/>
      <c r="V41" s="89"/>
      <c r="W41" s="133" t="s">
        <v>142</v>
      </c>
      <c r="Y41" s="134" t="s">
        <v>143</v>
      </c>
      <c r="Z41" s="95"/>
    </row>
    <row r="42" spans="2:26" ht="20" customHeight="1" thickBot="1" x14ac:dyDescent="0.4">
      <c r="B42" s="323"/>
      <c r="C42" s="324"/>
      <c r="D42" s="324"/>
      <c r="E42" s="324"/>
      <c r="F42" s="324"/>
      <c r="G42" s="324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61"/>
      <c r="U42" s="89"/>
      <c r="V42" s="89"/>
      <c r="W42" s="135" t="s">
        <v>144</v>
      </c>
      <c r="X42" s="136"/>
      <c r="Y42" s="137" t="s">
        <v>145</v>
      </c>
      <c r="Z42" s="95"/>
    </row>
    <row r="43" spans="2:26" ht="20" customHeight="1" thickTop="1" x14ac:dyDescent="0.35">
      <c r="B43" s="323"/>
      <c r="C43" s="324"/>
      <c r="D43" s="324"/>
      <c r="E43" s="324"/>
      <c r="F43" s="324"/>
      <c r="G43" s="324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61"/>
      <c r="U43" s="89"/>
      <c r="V43" s="89"/>
      <c r="W43" s="89"/>
      <c r="X43" s="89"/>
      <c r="Y43" s="89"/>
      <c r="Z43" s="89"/>
    </row>
    <row r="44" spans="2:26" ht="20" customHeight="1" x14ac:dyDescent="0.35">
      <c r="B44" s="323"/>
      <c r="C44" s="324"/>
      <c r="D44" s="324"/>
      <c r="E44" s="324"/>
      <c r="F44" s="324"/>
      <c r="G44" s="324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61"/>
      <c r="U44" s="89"/>
      <c r="V44" s="89"/>
      <c r="W44" s="320" t="s">
        <v>79</v>
      </c>
      <c r="X44" s="320"/>
      <c r="Y44" s="320"/>
      <c r="Z44" s="95"/>
    </row>
    <row r="45" spans="2:26" ht="20" customHeight="1" x14ac:dyDescent="0.35">
      <c r="B45" s="323"/>
      <c r="C45" s="324"/>
      <c r="D45" s="324"/>
      <c r="E45" s="324"/>
      <c r="F45" s="324"/>
      <c r="G45" s="324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61"/>
      <c r="U45" s="89"/>
      <c r="V45" s="89"/>
      <c r="W45" s="321" t="s">
        <v>139</v>
      </c>
      <c r="X45" s="321"/>
      <c r="Y45" s="321"/>
      <c r="Z45" s="95"/>
    </row>
    <row r="46" spans="2:26" ht="20" customHeight="1" x14ac:dyDescent="0.35">
      <c r="B46" s="323"/>
      <c r="C46" s="324"/>
      <c r="D46" s="324"/>
      <c r="E46" s="324"/>
      <c r="F46" s="324"/>
      <c r="G46" s="324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61"/>
      <c r="U46" s="89"/>
      <c r="V46" s="89"/>
      <c r="W46" s="89"/>
      <c r="X46" s="89"/>
      <c r="Y46" s="89"/>
      <c r="Z46" s="89"/>
    </row>
    <row r="47" spans="2:26" ht="20" customHeight="1" x14ac:dyDescent="0.35">
      <c r="B47" s="323"/>
      <c r="C47" s="324"/>
      <c r="D47" s="324"/>
      <c r="E47" s="324"/>
      <c r="F47" s="324"/>
      <c r="G47" s="324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61"/>
      <c r="U47" s="89"/>
      <c r="V47" s="89"/>
      <c r="W47" s="89"/>
      <c r="X47" s="89"/>
      <c r="Y47" s="89"/>
      <c r="Z47" s="89"/>
    </row>
    <row r="48" spans="2:26" ht="20" customHeight="1" x14ac:dyDescent="0.35">
      <c r="B48" s="323"/>
      <c r="C48" s="324"/>
      <c r="D48" s="324"/>
      <c r="E48" s="324"/>
      <c r="F48" s="324"/>
      <c r="G48" s="324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61"/>
      <c r="U48" s="89"/>
      <c r="V48" s="89"/>
      <c r="W48" s="319" t="s">
        <v>81</v>
      </c>
      <c r="X48" s="319"/>
      <c r="Y48" s="319"/>
      <c r="Z48" s="95"/>
    </row>
    <row r="49" spans="2:26" ht="20" customHeight="1" x14ac:dyDescent="0.35">
      <c r="B49" s="323"/>
      <c r="C49" s="324"/>
      <c r="D49" s="324"/>
      <c r="E49" s="324"/>
      <c r="F49" s="324"/>
      <c r="G49" s="324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61"/>
      <c r="U49" s="89"/>
      <c r="V49" s="89"/>
      <c r="W49" s="320" t="s">
        <v>133</v>
      </c>
      <c r="X49" s="320" t="s">
        <v>132</v>
      </c>
      <c r="Y49" s="320"/>
      <c r="Z49" s="95"/>
    </row>
    <row r="50" spans="2:26" x14ac:dyDescent="0.35">
      <c r="B50" s="323"/>
      <c r="C50" s="324"/>
      <c r="D50" s="324"/>
      <c r="E50" s="324"/>
      <c r="F50" s="324"/>
      <c r="G50" s="324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61"/>
      <c r="U50" s="89"/>
      <c r="V50" s="89"/>
      <c r="W50" s="322" t="s">
        <v>135</v>
      </c>
      <c r="X50" s="322"/>
      <c r="Y50" s="322"/>
      <c r="Z50" s="95"/>
    </row>
    <row r="51" spans="2:26" ht="20" customHeight="1" x14ac:dyDescent="0.35">
      <c r="B51" s="323"/>
      <c r="C51" s="324"/>
      <c r="D51" s="324"/>
      <c r="E51" s="324"/>
      <c r="F51" s="324"/>
      <c r="G51" s="324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61"/>
      <c r="U51" s="89"/>
      <c r="V51" s="89"/>
      <c r="W51" s="89"/>
      <c r="X51" s="89"/>
      <c r="Y51" s="89"/>
      <c r="Z51" s="89"/>
    </row>
    <row r="52" spans="2:26" ht="20" customHeight="1" x14ac:dyDescent="0.35">
      <c r="B52" s="323"/>
      <c r="C52" s="324"/>
      <c r="D52" s="324"/>
      <c r="E52" s="324"/>
      <c r="F52" s="324"/>
      <c r="G52" s="324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61"/>
      <c r="U52" s="89"/>
      <c r="V52" s="89"/>
      <c r="W52" s="89"/>
      <c r="X52" s="89"/>
      <c r="Y52" s="89"/>
      <c r="Z52" s="89"/>
    </row>
    <row r="53" spans="2:26" ht="20" customHeight="1" x14ac:dyDescent="0.35">
      <c r="B53" s="323"/>
      <c r="C53" s="324"/>
      <c r="D53" s="324"/>
      <c r="E53" s="324"/>
      <c r="F53" s="324"/>
      <c r="G53" s="324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61"/>
      <c r="U53" s="89"/>
      <c r="V53" s="89"/>
      <c r="W53" s="319" t="s">
        <v>81</v>
      </c>
      <c r="X53" s="319"/>
      <c r="Y53" s="319"/>
      <c r="Z53" s="95"/>
    </row>
    <row r="54" spans="2:26" ht="20" customHeight="1" x14ac:dyDescent="0.35">
      <c r="B54" s="323"/>
      <c r="C54" s="324"/>
      <c r="D54" s="324"/>
      <c r="E54" s="324"/>
      <c r="F54" s="324"/>
      <c r="G54" s="324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61"/>
      <c r="U54" s="89"/>
      <c r="V54" s="89"/>
      <c r="W54" s="320" t="s">
        <v>134</v>
      </c>
      <c r="X54" s="320" t="s">
        <v>132</v>
      </c>
      <c r="Y54" s="320"/>
      <c r="Z54" s="95"/>
    </row>
    <row r="55" spans="2:26" ht="30" customHeight="1" x14ac:dyDescent="0.35">
      <c r="B55" s="323"/>
      <c r="C55" s="324"/>
      <c r="D55" s="324"/>
      <c r="E55" s="324"/>
      <c r="F55" s="324"/>
      <c r="G55" s="324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61"/>
      <c r="U55" s="89"/>
      <c r="V55" s="89"/>
      <c r="W55" s="322" t="s">
        <v>131</v>
      </c>
      <c r="X55" s="322"/>
      <c r="Y55" s="322"/>
      <c r="Z55" s="95"/>
    </row>
    <row r="56" spans="2:26" ht="21" customHeight="1" x14ac:dyDescent="0.35">
      <c r="B56" s="323"/>
      <c r="C56" s="324"/>
      <c r="D56" s="324"/>
      <c r="E56" s="324"/>
      <c r="F56" s="324"/>
      <c r="G56" s="324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61"/>
      <c r="U56" s="89"/>
      <c r="V56" s="89"/>
      <c r="W56" s="89"/>
      <c r="X56" s="89"/>
      <c r="Y56" s="89"/>
      <c r="Z56" s="89"/>
    </row>
    <row r="57" spans="2:26" ht="20" customHeight="1" thickBot="1" x14ac:dyDescent="0.4">
      <c r="B57" s="325"/>
      <c r="C57" s="326"/>
      <c r="D57" s="326"/>
      <c r="E57" s="326"/>
      <c r="F57" s="326"/>
      <c r="G57" s="326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62"/>
      <c r="U57" s="89"/>
      <c r="V57" s="89"/>
      <c r="W57" s="89"/>
      <c r="X57" s="89"/>
      <c r="Y57" s="89"/>
      <c r="Z57" s="89"/>
    </row>
    <row r="58" spans="2:26" ht="20" customHeight="1" x14ac:dyDescent="0.35">
      <c r="B58" s="93"/>
      <c r="C58" s="89"/>
      <c r="D58" s="89"/>
      <c r="E58" s="89"/>
      <c r="F58" s="90"/>
      <c r="G58" s="93"/>
      <c r="H58" s="89"/>
      <c r="I58" s="89"/>
      <c r="J58" s="89"/>
      <c r="K58" s="89"/>
      <c r="L58" s="89"/>
      <c r="M58" s="89"/>
      <c r="N58" s="104"/>
      <c r="O58" s="89"/>
      <c r="P58" s="89"/>
      <c r="Q58" s="89"/>
      <c r="R58" s="89"/>
      <c r="S58" s="89"/>
      <c r="T58" s="89"/>
      <c r="U58" s="89"/>
      <c r="V58" s="89"/>
      <c r="W58" s="319" t="s">
        <v>81</v>
      </c>
      <c r="X58" s="319"/>
      <c r="Y58" s="319"/>
      <c r="Z58" s="95"/>
    </row>
    <row r="59" spans="2:26" ht="20" customHeight="1" x14ac:dyDescent="0.35">
      <c r="B59" s="131" t="s">
        <v>136</v>
      </c>
      <c r="C59" s="89"/>
      <c r="D59" s="89"/>
      <c r="E59" s="89"/>
      <c r="F59" s="90"/>
      <c r="G59" s="93"/>
      <c r="H59" s="89"/>
      <c r="I59" s="89"/>
      <c r="J59" s="89"/>
      <c r="K59" s="89"/>
      <c r="L59" s="89"/>
      <c r="M59" s="89"/>
      <c r="N59" s="104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95"/>
    </row>
    <row r="60" spans="2:26" ht="20" customHeight="1" x14ac:dyDescent="0.35">
      <c r="B60" s="131" t="s">
        <v>137</v>
      </c>
      <c r="C60" s="132" t="s">
        <v>138</v>
      </c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4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5"/>
    </row>
    <row r="61" spans="2:26" ht="20" customHeight="1" x14ac:dyDescent="0.35">
      <c r="B61" s="93"/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4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N62" s="75"/>
    </row>
  </sheetData>
  <sheetProtection selectLockedCells="1"/>
  <dataConsolidate/>
  <mergeCells count="65">
    <mergeCell ref="B11:C11"/>
    <mergeCell ref="P13:W13"/>
    <mergeCell ref="X13:X16"/>
    <mergeCell ref="H13:H16"/>
    <mergeCell ref="Y13:Y16"/>
    <mergeCell ref="F13:F16"/>
    <mergeCell ref="G13:G16"/>
    <mergeCell ref="C13:C16"/>
    <mergeCell ref="B13:B16"/>
    <mergeCell ref="D13:E16"/>
    <mergeCell ref="W15:W16"/>
    <mergeCell ref="I13:O13"/>
    <mergeCell ref="I14:I15"/>
    <mergeCell ref="O14:O15"/>
    <mergeCell ref="J14:N14"/>
    <mergeCell ref="B42:G57"/>
    <mergeCell ref="D21:E21"/>
    <mergeCell ref="D17:E17"/>
    <mergeCell ref="D20:E20"/>
    <mergeCell ref="W39:Y39"/>
    <mergeCell ref="B41:G41"/>
    <mergeCell ref="P36:X36"/>
    <mergeCell ref="P34:X34"/>
    <mergeCell ref="I18:O18"/>
    <mergeCell ref="I31:O31"/>
    <mergeCell ref="I32:O32"/>
    <mergeCell ref="P31:V31"/>
    <mergeCell ref="P32:V32"/>
    <mergeCell ref="D18:E18"/>
    <mergeCell ref="D19:E19"/>
    <mergeCell ref="D22:E22"/>
    <mergeCell ref="W58:Y58"/>
    <mergeCell ref="W44:Y44"/>
    <mergeCell ref="W45:Y45"/>
    <mergeCell ref="W48:Y48"/>
    <mergeCell ref="W50:Y50"/>
    <mergeCell ref="W53:Y53"/>
    <mergeCell ref="W49:Y49"/>
    <mergeCell ref="W54:Y54"/>
    <mergeCell ref="W55:Y55"/>
    <mergeCell ref="B7:C7"/>
    <mergeCell ref="B8:C8"/>
    <mergeCell ref="E8:Y8"/>
    <mergeCell ref="B10:C10"/>
    <mergeCell ref="H10:Y10"/>
    <mergeCell ref="B9:C9"/>
    <mergeCell ref="E10:G10"/>
    <mergeCell ref="E9:G9"/>
    <mergeCell ref="J9:N9"/>
    <mergeCell ref="B4:C4"/>
    <mergeCell ref="E4:Y4"/>
    <mergeCell ref="B6:C6"/>
    <mergeCell ref="E6:Y6"/>
    <mergeCell ref="B5:C5"/>
    <mergeCell ref="D23:E23"/>
    <mergeCell ref="D24:E24"/>
    <mergeCell ref="D25:E25"/>
    <mergeCell ref="D26:E26"/>
    <mergeCell ref="D32:E32"/>
    <mergeCell ref="D33:E33"/>
    <mergeCell ref="D27:E27"/>
    <mergeCell ref="D28:E28"/>
    <mergeCell ref="D29:E29"/>
    <mergeCell ref="D30:E30"/>
    <mergeCell ref="D31:E31"/>
  </mergeCells>
  <conditionalFormatting sqref="H34">
    <cfRule type="containsText" dxfId="23" priority="51" operator="containsText" text="Cek Kerusakan Komponen Lain">
      <formula>NOT(ISERROR(SEARCH("Cek Kerusakan Komponen Lain",H34)))</formula>
    </cfRule>
    <cfRule type="containsText" dxfId="22" priority="67" operator="containsText" text="Rusak Berat">
      <formula>NOT(ISERROR(SEARCH("Rusak Berat",H34)))</formula>
    </cfRule>
  </conditionalFormatting>
  <conditionalFormatting sqref="W18:W33">
    <cfRule type="containsBlanks" dxfId="21" priority="1">
      <formula>LEN(TRIM(W18))=0</formula>
    </cfRule>
    <cfRule type="cellIs" dxfId="20" priority="2" operator="greaterThan">
      <formula>1</formula>
    </cfRule>
  </conditionalFormatting>
  <conditionalFormatting sqref="Y36">
    <cfRule type="containsText" dxfId="19" priority="45" operator="containsText" text="Hitung Kerusakan">
      <formula>NOT(ISERROR(SEARCH("Hitung Kerusakan",Y36)))</formula>
    </cfRule>
    <cfRule type="containsText" dxfId="18" priority="63" operator="containsText" text="Rusak Ringan">
      <formula>NOT(ISERROR(SEARCH("Rusak Ringan",Y36)))</formula>
    </cfRule>
    <cfRule type="containsText" dxfId="17" priority="64" operator="containsText" text="Rusak Sedang">
      <formula>NOT(ISERROR(SEARCH("Rusak Sedang",Y36)))</formula>
    </cfRule>
    <cfRule type="containsText" dxfId="16" priority="65" operator="containsText" text="Rusak Berat">
      <formula>NOT(ISERROR(SEARCH("Rusak Berat",Y36)))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3" fitToHeight="0" orientation="landscape" r:id="rId1"/>
  <rowBreaks count="1" manualBreakCount="1">
    <brk id="37" min="1" max="25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B116AB-680D-42F0-B5F6-359AF6DC10A8}">
          <x14:formula1>
            <xm:f>Sheet5!$B$12:$B$18</xm:f>
          </x14:formula1>
          <xm:sqref>I18:O18</xm:sqref>
        </x14:dataValidation>
        <x14:dataValidation type="list" allowBlank="1" showInputMessage="1" showErrorMessage="1" xr:uid="{141D782B-73AE-4F7E-96A2-330A4CBF6D37}">
          <x14:formula1>
            <xm:f>Sheet5!$B$3:$B$9</xm:f>
          </x14:formula1>
          <xm:sqref>I31:O31</xm:sqref>
        </x14:dataValidation>
        <x14:dataValidation type="list" allowBlank="1" showInputMessage="1" showErrorMessage="1" xr:uid="{138AE814-9474-41B8-8871-4D3C05EEF3A3}">
          <x14:formula1>
            <xm:f>Sheet5!$B$21:$B$27</xm:f>
          </x14:formula1>
          <xm:sqref>I32:O32</xm:sqref>
        </x14:dataValidation>
        <x14:dataValidation type="list" allowBlank="1" showInputMessage="1" showErrorMessage="1" xr:uid="{07DEBB65-E5B5-4300-BA41-84749FF6C552}">
          <x14:formula1>
            <xm:f>Sheet1!$C$4:$C$6</xm:f>
          </x14:formula1>
          <xm:sqref>H18:H23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C31A-F777-4697-A0E8-B48FED8AD632}">
  <sheetPr>
    <tabColor rgb="FF00B050"/>
  </sheetPr>
  <dimension ref="A2:AE62"/>
  <sheetViews>
    <sheetView tabSelected="1" zoomScale="80" zoomScaleNormal="80" zoomScaleSheetLayoutView="25" workbookViewId="0">
      <selection activeCell="K28" sqref="K28"/>
    </sheetView>
  </sheetViews>
  <sheetFormatPr defaultColWidth="9.08984375" defaultRowHeight="14.5" x14ac:dyDescent="0.35"/>
  <cols>
    <col min="1" max="1" width="9.08984375" style="1"/>
    <col min="2" max="2" width="7.54296875" style="126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6" customWidth="1"/>
    <col min="8" max="8" width="7.453125" style="1" customWidth="1"/>
    <col min="9" max="10" width="7.453125" style="1" bestFit="1" customWidth="1"/>
    <col min="11" max="12" width="7.453125" style="1" customWidth="1"/>
    <col min="13" max="13" width="7.453125" style="1" bestFit="1" customWidth="1"/>
    <col min="14" max="14" width="10.90625" style="1" customWidth="1"/>
    <col min="15" max="15" width="10.90625" style="108" customWidth="1"/>
    <col min="16" max="16" width="28.36328125" style="1" customWidth="1"/>
    <col min="17" max="22" width="4.90625" style="1" bestFit="1" customWidth="1"/>
    <col min="23" max="23" width="6.54296875" style="1" bestFit="1" customWidth="1"/>
    <col min="24" max="24" width="8.08984375" style="1" bestFit="1" customWidth="1"/>
    <col min="25" max="25" width="11.36328125" style="1" bestFit="1" customWidth="1"/>
    <col min="26" max="26" width="16.54296875" style="1" customWidth="1"/>
    <col min="27" max="27" width="7.453125" style="108" customWidth="1"/>
    <col min="28" max="28" width="6.90625" style="1" hidden="1" customWidth="1"/>
    <col min="29" max="29" width="15.6328125" style="1" customWidth="1"/>
    <col min="30" max="30" width="7" style="1" bestFit="1" customWidth="1"/>
    <col min="31" max="31" width="16.54296875" style="1" customWidth="1"/>
    <col min="32" max="16384" width="9.08984375" style="1"/>
  </cols>
  <sheetData>
    <row r="2" spans="2:31" ht="18.5" x14ac:dyDescent="0.45">
      <c r="B2" s="128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296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95"/>
    </row>
    <row r="3" spans="2:31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296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95"/>
    </row>
    <row r="4" spans="2:31" s="80" customFormat="1" ht="33" customHeight="1" x14ac:dyDescent="0.35">
      <c r="B4" s="312" t="s">
        <v>124</v>
      </c>
      <c r="C4" s="312"/>
      <c r="D4" s="94" t="s">
        <v>13</v>
      </c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164"/>
      <c r="AB4" s="1"/>
      <c r="AC4" s="1"/>
      <c r="AD4" s="1"/>
      <c r="AE4" s="1"/>
    </row>
    <row r="5" spans="2:31" x14ac:dyDescent="0.35">
      <c r="B5" s="314" t="s">
        <v>127</v>
      </c>
      <c r="C5" s="314"/>
      <c r="D5" s="94" t="s">
        <v>13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297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95"/>
    </row>
    <row r="6" spans="2:31" ht="18" customHeight="1" x14ac:dyDescent="0.35">
      <c r="B6" s="314" t="s">
        <v>14</v>
      </c>
      <c r="C6" s="314"/>
      <c r="D6" s="94" t="s">
        <v>13</v>
      </c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95"/>
    </row>
    <row r="7" spans="2:31" ht="18" customHeight="1" x14ac:dyDescent="0.35">
      <c r="B7" s="314" t="s">
        <v>130</v>
      </c>
      <c r="C7" s="314"/>
      <c r="D7" s="94" t="s">
        <v>129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297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95"/>
    </row>
    <row r="8" spans="2:31" ht="18" customHeight="1" x14ac:dyDescent="0.35">
      <c r="B8" s="314" t="s">
        <v>15</v>
      </c>
      <c r="C8" s="314"/>
      <c r="D8" s="94" t="s">
        <v>13</v>
      </c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95"/>
    </row>
    <row r="9" spans="2:31" ht="18" customHeight="1" x14ac:dyDescent="0.35">
      <c r="B9" s="314" t="s">
        <v>122</v>
      </c>
      <c r="C9" s="314"/>
      <c r="D9" s="94" t="s">
        <v>13</v>
      </c>
      <c r="E9" s="315"/>
      <c r="F9" s="315"/>
      <c r="G9" s="315"/>
      <c r="H9" s="314" t="s">
        <v>121</v>
      </c>
      <c r="I9" s="314"/>
      <c r="J9" s="318"/>
      <c r="K9" s="318"/>
      <c r="L9" s="318"/>
      <c r="M9" s="318"/>
      <c r="N9" s="129"/>
      <c r="O9" s="298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95"/>
    </row>
    <row r="10" spans="2:31" ht="18" customHeight="1" x14ac:dyDescent="0.35">
      <c r="B10" s="314" t="s">
        <v>16</v>
      </c>
      <c r="C10" s="314"/>
      <c r="D10" s="94" t="s">
        <v>13</v>
      </c>
      <c r="E10" s="317"/>
      <c r="F10" s="317"/>
      <c r="G10" s="317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95"/>
    </row>
    <row r="11" spans="2:31" ht="18" customHeight="1" x14ac:dyDescent="0.35">
      <c r="B11" s="314" t="s">
        <v>20</v>
      </c>
      <c r="C11" s="314"/>
      <c r="D11" s="94" t="s">
        <v>13</v>
      </c>
      <c r="E11" s="118"/>
      <c r="F11" s="117" t="s">
        <v>21</v>
      </c>
      <c r="G11" s="96"/>
      <c r="H11" s="97"/>
      <c r="I11" s="97"/>
      <c r="J11" s="97"/>
      <c r="K11" s="97"/>
      <c r="L11" s="97"/>
      <c r="M11" s="97"/>
      <c r="N11" s="98" t="s">
        <v>22</v>
      </c>
      <c r="O11" s="94"/>
      <c r="P11" s="98"/>
      <c r="Q11" s="98"/>
      <c r="R11" s="98"/>
      <c r="S11" s="98"/>
      <c r="T11" s="105">
        <v>1</v>
      </c>
      <c r="U11" s="98"/>
      <c r="V11" s="98"/>
      <c r="W11" s="98"/>
      <c r="X11" s="98"/>
      <c r="Y11" s="98"/>
      <c r="Z11" s="98"/>
      <c r="AA11" s="95"/>
    </row>
    <row r="12" spans="2:31" ht="18" customHeight="1" thickBot="1" x14ac:dyDescent="0.4">
      <c r="B12" s="124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9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95"/>
    </row>
    <row r="13" spans="2:31" ht="34.5" customHeight="1" x14ac:dyDescent="0.35">
      <c r="B13" s="377" t="s">
        <v>25</v>
      </c>
      <c r="C13" s="374" t="s">
        <v>147</v>
      </c>
      <c r="D13" s="374" t="s">
        <v>85</v>
      </c>
      <c r="E13" s="374"/>
      <c r="F13" s="371" t="s">
        <v>92</v>
      </c>
      <c r="G13" s="371" t="s">
        <v>152</v>
      </c>
      <c r="H13" s="387" t="s">
        <v>171</v>
      </c>
      <c r="I13" s="388"/>
      <c r="J13" s="388"/>
      <c r="K13" s="388"/>
      <c r="L13" s="388"/>
      <c r="M13" s="388"/>
      <c r="N13" s="388"/>
      <c r="O13" s="389"/>
      <c r="P13" s="365" t="s">
        <v>192</v>
      </c>
      <c r="Q13" s="357" t="s">
        <v>191</v>
      </c>
      <c r="R13" s="358"/>
      <c r="S13" s="359"/>
      <c r="T13" s="359"/>
      <c r="U13" s="360"/>
      <c r="V13" s="360"/>
      <c r="W13" s="360"/>
      <c r="X13" s="361"/>
      <c r="Y13" s="362" t="s">
        <v>156</v>
      </c>
      <c r="Z13" s="368" t="s">
        <v>222</v>
      </c>
      <c r="AA13" s="95"/>
    </row>
    <row r="14" spans="2:31" x14ac:dyDescent="0.35">
      <c r="B14" s="378"/>
      <c r="C14" s="375"/>
      <c r="D14" s="375"/>
      <c r="E14" s="375"/>
      <c r="F14" s="372"/>
      <c r="G14" s="372"/>
      <c r="H14" s="396" t="s">
        <v>182</v>
      </c>
      <c r="I14" s="397" t="s">
        <v>188</v>
      </c>
      <c r="J14" s="397"/>
      <c r="K14" s="397"/>
      <c r="L14" s="397"/>
      <c r="M14" s="397"/>
      <c r="N14" s="381" t="s">
        <v>193</v>
      </c>
      <c r="O14" s="386" t="s">
        <v>227</v>
      </c>
      <c r="P14" s="366"/>
      <c r="Q14" s="180"/>
      <c r="R14" s="212"/>
      <c r="S14" s="213"/>
      <c r="T14" s="213"/>
      <c r="U14" s="214"/>
      <c r="V14" s="214"/>
      <c r="W14" s="213"/>
      <c r="X14" s="215"/>
      <c r="Y14" s="363"/>
      <c r="Z14" s="369"/>
      <c r="AA14" s="95"/>
    </row>
    <row r="15" spans="2:31" ht="23" x14ac:dyDescent="0.35">
      <c r="B15" s="378"/>
      <c r="C15" s="375"/>
      <c r="D15" s="375"/>
      <c r="E15" s="375"/>
      <c r="F15" s="372"/>
      <c r="G15" s="372"/>
      <c r="H15" s="383"/>
      <c r="I15" s="188" t="s">
        <v>183</v>
      </c>
      <c r="J15" s="188" t="s">
        <v>140</v>
      </c>
      <c r="K15" s="188" t="s">
        <v>142</v>
      </c>
      <c r="L15" s="188" t="s">
        <v>144</v>
      </c>
      <c r="M15" s="188" t="s">
        <v>184</v>
      </c>
      <c r="N15" s="384"/>
      <c r="O15" s="386"/>
      <c r="P15" s="366"/>
      <c r="Q15" s="181">
        <v>1</v>
      </c>
      <c r="R15" s="185">
        <v>2</v>
      </c>
      <c r="S15" s="186">
        <v>3</v>
      </c>
      <c r="T15" s="186">
        <v>4</v>
      </c>
      <c r="U15" s="186">
        <v>5</v>
      </c>
      <c r="V15" s="187">
        <v>6</v>
      </c>
      <c r="W15" s="186">
        <v>7</v>
      </c>
      <c r="X15" s="380" t="s">
        <v>161</v>
      </c>
      <c r="Y15" s="363"/>
      <c r="Z15" s="369"/>
      <c r="AA15" s="95"/>
    </row>
    <row r="16" spans="2:31" x14ac:dyDescent="0.35">
      <c r="B16" s="379"/>
      <c r="C16" s="376"/>
      <c r="D16" s="376"/>
      <c r="E16" s="376"/>
      <c r="F16" s="373"/>
      <c r="G16" s="373"/>
      <c r="H16" s="190">
        <v>1</v>
      </c>
      <c r="I16" s="188">
        <v>2</v>
      </c>
      <c r="J16" s="188">
        <v>3</v>
      </c>
      <c r="K16" s="188">
        <v>4</v>
      </c>
      <c r="L16" s="188">
        <v>5</v>
      </c>
      <c r="M16" s="188">
        <v>6</v>
      </c>
      <c r="N16" s="182">
        <v>7</v>
      </c>
      <c r="O16" s="299"/>
      <c r="P16" s="367"/>
      <c r="Q16" s="183">
        <v>0</v>
      </c>
      <c r="R16" s="165">
        <v>0.2</v>
      </c>
      <c r="S16" s="165">
        <v>0.35</v>
      </c>
      <c r="T16" s="165">
        <v>0.5</v>
      </c>
      <c r="U16" s="165">
        <v>0.7</v>
      </c>
      <c r="V16" s="165">
        <v>0.85</v>
      </c>
      <c r="W16" s="165">
        <v>1</v>
      </c>
      <c r="X16" s="381"/>
      <c r="Y16" s="364"/>
      <c r="Z16" s="370"/>
      <c r="AA16" s="95"/>
    </row>
    <row r="17" spans="1:31" s="154" customFormat="1" ht="11.25" customHeight="1" thickBot="1" x14ac:dyDescent="0.4">
      <c r="B17" s="151" t="s">
        <v>38</v>
      </c>
      <c r="C17" s="152" t="s">
        <v>39</v>
      </c>
      <c r="D17" s="328" t="s">
        <v>40</v>
      </c>
      <c r="E17" s="329"/>
      <c r="F17" s="153" t="s">
        <v>41</v>
      </c>
      <c r="G17" s="152" t="s">
        <v>42</v>
      </c>
      <c r="H17" s="191" t="s">
        <v>43</v>
      </c>
      <c r="I17" s="191" t="s">
        <v>189</v>
      </c>
      <c r="J17" s="192" t="s">
        <v>91</v>
      </c>
      <c r="K17" s="192" t="s">
        <v>162</v>
      </c>
      <c r="L17" s="192" t="s">
        <v>163</v>
      </c>
      <c r="M17" s="192" t="s">
        <v>172</v>
      </c>
      <c r="N17" s="193" t="s">
        <v>173</v>
      </c>
      <c r="O17" s="284"/>
      <c r="P17" s="197" t="s">
        <v>174</v>
      </c>
      <c r="Q17" s="211" t="s">
        <v>175</v>
      </c>
      <c r="R17" s="191" t="s">
        <v>176</v>
      </c>
      <c r="S17" s="192" t="s">
        <v>177</v>
      </c>
      <c r="T17" s="192" t="s">
        <v>178</v>
      </c>
      <c r="U17" s="192" t="s">
        <v>179</v>
      </c>
      <c r="V17" s="196" t="s">
        <v>180</v>
      </c>
      <c r="W17" s="196" t="s">
        <v>181</v>
      </c>
      <c r="X17" s="193" t="s">
        <v>185</v>
      </c>
      <c r="Y17" s="200" t="s">
        <v>187</v>
      </c>
      <c r="Z17" s="178" t="s">
        <v>186</v>
      </c>
      <c r="AA17" s="95"/>
      <c r="AB17" s="1"/>
      <c r="AC17" s="1"/>
      <c r="AD17" s="1"/>
      <c r="AE17" s="1"/>
    </row>
    <row r="18" spans="1:31" s="80" customFormat="1" ht="36" customHeight="1" x14ac:dyDescent="0.35">
      <c r="B18" s="81">
        <v>1</v>
      </c>
      <c r="C18" s="82" t="s">
        <v>47</v>
      </c>
      <c r="D18" s="356" t="s">
        <v>202</v>
      </c>
      <c r="E18" s="356"/>
      <c r="F18" s="142" t="s">
        <v>196</v>
      </c>
      <c r="G18" s="172"/>
      <c r="H18" s="390" t="s">
        <v>218</v>
      </c>
      <c r="I18" s="391"/>
      <c r="J18" s="391"/>
      <c r="K18" s="391"/>
      <c r="L18" s="391"/>
      <c r="M18" s="391"/>
      <c r="N18" s="391"/>
      <c r="O18" s="392"/>
      <c r="P18" s="285" t="str">
        <f>IF(H18=Sheet5!B12,"Tidak ada kerusakan",IF(H18=Sheet5!B13,"Tidak Membahayakan keselamatan",IF(H18=Sheet5!B14,"Membahayakan keselamatan",IF(H18=Sheet5!B15,"Membahayakan keselamatan",IF(H18=Sheet5!B16,"Membahayakan keselamatan",IF(H18=Sheet5!B17,"Membahayakan keselamatan",IF(H18=Sheet5!B18,"Tidak Membahayakan keselamatan")))))))</f>
        <v>Tidak ada kerusakan</v>
      </c>
      <c r="Q18" s="273"/>
      <c r="R18" s="274"/>
      <c r="S18" s="274"/>
      <c r="T18" s="274"/>
      <c r="U18" s="274"/>
      <c r="V18" s="274"/>
      <c r="W18" s="275"/>
      <c r="X18" s="226">
        <f>VLOOKUP(H18,Sheet5!B12:C18,2,FALSE)</f>
        <v>0</v>
      </c>
      <c r="Y18" s="242">
        <v>0.12</v>
      </c>
      <c r="Z18" s="176">
        <f>X18*Y18</f>
        <v>0</v>
      </c>
      <c r="AA18" s="95"/>
      <c r="AB18" s="240" t="s">
        <v>90</v>
      </c>
      <c r="AC18" s="1"/>
      <c r="AD18" s="1"/>
      <c r="AE18" s="1"/>
    </row>
    <row r="19" spans="1:31" s="80" customFormat="1" ht="36" customHeight="1" x14ac:dyDescent="0.35">
      <c r="B19" s="83"/>
      <c r="C19" s="84"/>
      <c r="D19" s="330" t="s">
        <v>154</v>
      </c>
      <c r="E19" s="330"/>
      <c r="F19" s="85" t="s">
        <v>86</v>
      </c>
      <c r="G19" s="261">
        <v>8</v>
      </c>
      <c r="H19" s="203"/>
      <c r="I19" s="166"/>
      <c r="J19" s="166"/>
      <c r="K19" s="166"/>
      <c r="L19" s="166"/>
      <c r="M19" s="166"/>
      <c r="N19" s="166"/>
      <c r="O19" s="292" t="str">
        <f>IF(G19=0,"Input Vol Seluruh Komponen",IF(H19+I19+J19+K19+L19+M19+N19=G19,"OK",IF(H19+I19+J19+K19+L19+M19+N19&lt;G19,"Volume Kurang",IF(H19+I19+J19+K19+L19+M19+N19&gt;G19,"Volume Lebih",IF(H19+I19+J19+K19+L19+M19+N19=0,"blank")))))</f>
        <v>Volume Kurang</v>
      </c>
      <c r="P19" s="283" t="str">
        <f>IF(H19=G19,"Tidak ada kerusakan",IF(K19&gt;=0.3*G19,"Membahayakan keselamatan",IF(L19&gt;=2,"Membahayakan keselamatan",IF(M19&gt;=1,"Membahayakan keselamatan",IF(K19+L19+M19&gt;=0.3*G19,"Membahayakan keselamatan",IF(L19+M19&gt;=2,"Membahayakan keselamatan",IF(H19+I19+J19+K19+L19+M19+N19=0,"Tidak ada kerusakan","Tidak membahayakan keselamatan")))))))</f>
        <v>Tidak ada kerusakan</v>
      </c>
      <c r="Q19" s="220">
        <f t="shared" ref="Q19:Q27" si="0">H19/G19*$Q$16</f>
        <v>0</v>
      </c>
      <c r="R19" s="221">
        <f t="shared" ref="R19:R27" si="1">I19/G19*$R$16</f>
        <v>0</v>
      </c>
      <c r="S19" s="221">
        <f t="shared" ref="S19:S27" si="2">J19/G19*$S$16</f>
        <v>0</v>
      </c>
      <c r="T19" s="221">
        <f t="shared" ref="T19:T27" si="3">K19/G19*$T$16</f>
        <v>0</v>
      </c>
      <c r="U19" s="221">
        <f t="shared" ref="U19:U27" si="4">L19/G19*$U$16</f>
        <v>0</v>
      </c>
      <c r="V19" s="221">
        <f t="shared" ref="V19:V27" si="5">M19/G19*$V$16</f>
        <v>0</v>
      </c>
      <c r="W19" s="221">
        <f t="shared" ref="W19:W27" si="6">N19/G19*$W$16</f>
        <v>0</v>
      </c>
      <c r="X19" s="227">
        <f>SUM(Q19:W19)</f>
        <v>0</v>
      </c>
      <c r="Y19" s="243">
        <v>0.1</v>
      </c>
      <c r="Z19" s="177">
        <f t="shared" ref="Z19:Z33" si="7">X19*Y19</f>
        <v>0</v>
      </c>
      <c r="AA19" s="95"/>
      <c r="AB19" s="241"/>
      <c r="AC19" s="1"/>
      <c r="AD19" s="1"/>
      <c r="AE19" s="1"/>
    </row>
    <row r="20" spans="1:31" s="80" customFormat="1" ht="36" customHeight="1" x14ac:dyDescent="0.35">
      <c r="B20" s="83"/>
      <c r="C20" s="84"/>
      <c r="D20" s="330" t="s">
        <v>155</v>
      </c>
      <c r="E20" s="330"/>
      <c r="F20" s="85" t="s">
        <v>86</v>
      </c>
      <c r="G20" s="261">
        <v>8</v>
      </c>
      <c r="H20" s="203"/>
      <c r="I20" s="166"/>
      <c r="J20" s="166"/>
      <c r="K20" s="166"/>
      <c r="L20" s="166"/>
      <c r="M20" s="166"/>
      <c r="N20" s="166"/>
      <c r="O20" s="292" t="str">
        <f>IF(G20=0,"Input Vol Seluruh Komponen",IF(H20+I20+J20+K20+L20+M20+N20=G20,"OK",IF(H20+I20+J20+K20+L20+M20+N20&lt;G20,"Volume Kurang",IF(H20+I20+J20+K20+L20+M20+N20&gt;G20,"Volume Lebih",IF(H20+I20+J20+K20+L20+M20+N20=0,"blank")))))</f>
        <v>Volume Kurang</v>
      </c>
      <c r="P20" s="286" t="str">
        <f>IF(H20=G20,"Tidak ada kerusakan",IF(K20&gt;=0.3*G20,"Membahayakan keselamatan",IF(L20&gt;=2,"Membahayakan keselamatan",IF(M20&gt;=1,"Membahayakan keselamatan",IF(K20+L20+M20&gt;=0.3*G20,"Membahayakan keselamatan",IF(L20+M20&gt;=2,"Membahayakan keselamatan",IF(H20+I20+J20+K20+L20+M20+N20=0,"Tidak ada kerusakan","Tidak membahayakan keselamatan")))))))</f>
        <v>Tidak ada kerusakan</v>
      </c>
      <c r="Q20" s="220">
        <f t="shared" si="0"/>
        <v>0</v>
      </c>
      <c r="R20" s="221">
        <f t="shared" si="1"/>
        <v>0</v>
      </c>
      <c r="S20" s="221">
        <f t="shared" si="2"/>
        <v>0</v>
      </c>
      <c r="T20" s="221">
        <f t="shared" si="3"/>
        <v>0</v>
      </c>
      <c r="U20" s="221">
        <f t="shared" si="4"/>
        <v>0</v>
      </c>
      <c r="V20" s="221">
        <f t="shared" si="5"/>
        <v>0</v>
      </c>
      <c r="W20" s="221">
        <f t="shared" si="6"/>
        <v>0</v>
      </c>
      <c r="X20" s="227">
        <f t="shared" ref="X20:X27" si="8">SUM(Q20:W20)</f>
        <v>0</v>
      </c>
      <c r="Y20" s="243">
        <v>0.08</v>
      </c>
      <c r="Z20" s="177">
        <f t="shared" si="7"/>
        <v>0</v>
      </c>
      <c r="AA20" s="95"/>
      <c r="AB20" s="241"/>
      <c r="AC20" s="1"/>
      <c r="AD20" s="1"/>
      <c r="AE20" s="1"/>
    </row>
    <row r="21" spans="1:31" s="80" customFormat="1" ht="36" customHeight="1" x14ac:dyDescent="0.35">
      <c r="B21" s="83" t="s">
        <v>65</v>
      </c>
      <c r="C21" s="218"/>
      <c r="D21" s="327" t="s">
        <v>194</v>
      </c>
      <c r="E21" s="327"/>
      <c r="F21" s="248" t="s">
        <v>117</v>
      </c>
      <c r="G21" s="304">
        <v>1</v>
      </c>
      <c r="H21" s="229"/>
      <c r="I21" s="230"/>
      <c r="J21" s="230"/>
      <c r="K21" s="230"/>
      <c r="L21" s="230"/>
      <c r="M21" s="230"/>
      <c r="N21" s="230"/>
      <c r="O21" s="293" t="str">
        <f>IF(H21+I21+J21+K21+L21+M21+N21=0,"Input Volume",IF(H21+I21+J21+K21+L21+M21+N21=G21,"OK",IF(H21+I21+J21+K21+L21+M21+N21&lt;G21,"Volume kurang",IF(H21+I21+J21+K21+L21+M21+N21&gt;G21,"Volume Kelebihan"))))</f>
        <v>Input Volume</v>
      </c>
      <c r="P21" s="287" t="str">
        <f>IF(H21=100%,"Tidak ada kerusakan",IF(K21&gt;=30%,"Membahayakan keselamatan",IF(L21&gt;=20%,"Membahayakan keselamatan",IF(M21&gt;=10%,"Membahayakan keselamatan",IF(K21+L21+M21&gt;=30%,"Membahayakan keselamatan",IF(L21+M21&gt;=20%,"Membahayakan keselamatan",IF(H21+I21+J21+K21+L21+M21+N21=0%,"Tidak ada kerusakan","Tidak membahayakan keselamatan")))))))</f>
        <v>Tidak ada kerusakan</v>
      </c>
      <c r="Q21" s="250">
        <f>H21/G21*100*$Q$16</f>
        <v>0</v>
      </c>
      <c r="R21" s="251">
        <f>I21/G21*100*$R$16</f>
        <v>0</v>
      </c>
      <c r="S21" s="251">
        <f>J21/G21*100*$S$16</f>
        <v>0</v>
      </c>
      <c r="T21" s="251">
        <f>K21/G21*100*$T$16</f>
        <v>0</v>
      </c>
      <c r="U21" s="251">
        <f>L21/G21*100*$U$16</f>
        <v>0</v>
      </c>
      <c r="V21" s="251">
        <f>M21/G21*100*$V$16</f>
        <v>0</v>
      </c>
      <c r="W21" s="251">
        <f>N21/G21*100*$W$16</f>
        <v>0</v>
      </c>
      <c r="X21" s="252">
        <f>(SUM(Q21:W21))/100</f>
        <v>0</v>
      </c>
      <c r="Y21" s="253">
        <v>7.0000000000000007E-2</v>
      </c>
      <c r="Z21" s="254">
        <f t="shared" si="7"/>
        <v>0</v>
      </c>
      <c r="AA21" s="95"/>
      <c r="AB21" s="249"/>
      <c r="AC21" s="1"/>
      <c r="AD21" s="1"/>
      <c r="AE21" s="1"/>
    </row>
    <row r="22" spans="1:31" ht="36" customHeight="1" x14ac:dyDescent="0.35">
      <c r="B22" s="145">
        <v>2</v>
      </c>
      <c r="C22" s="82" t="s">
        <v>149</v>
      </c>
      <c r="D22" s="356" t="s">
        <v>150</v>
      </c>
      <c r="E22" s="356"/>
      <c r="F22" s="142" t="s">
        <v>117</v>
      </c>
      <c r="G22" s="305">
        <v>1</v>
      </c>
      <c r="H22" s="280"/>
      <c r="I22" s="281"/>
      <c r="J22" s="281"/>
      <c r="K22" s="281"/>
      <c r="L22" s="281"/>
      <c r="M22" s="281"/>
      <c r="N22" s="281"/>
      <c r="O22" s="295" t="str">
        <f>IF(H22+I22+J22+K22+L22+M22+N22=0,"Input Volume",IF(H22+I22+J22+K22+L22+M22+N22=G22,"OK",IF(H22+I22+J22+K22+L22+M22+N22&lt;G22,"Volume kurang",IF(H22+I22+J22+K22+L22+M22+N22&gt;G22,"Volume Kelebihan"))))</f>
        <v>Input Volume</v>
      </c>
      <c r="P22" s="286" t="str">
        <f>IF(H22=100%,"Tidak ada kerusakan",IF(L22&gt;=30%,"Membahayakan keselamatan",IF(M22&gt;=25%,"Membahayakan keselamatan",IF(L22+M22&gt;=30%,"Membahayakan keselamatan",IF(H22+I22+J22+K22+L22+M22+N22=0%,"Tidak ada kerusakan","Tidak membahayakan keselamatan")))))</f>
        <v>Tidak ada kerusakan</v>
      </c>
      <c r="Q22" s="234">
        <f>H22/G22*100*$Q$16</f>
        <v>0</v>
      </c>
      <c r="R22" s="235">
        <f>I22/G22*100*$R$16</f>
        <v>0</v>
      </c>
      <c r="S22" s="235">
        <f>J22/G22*100*$S$16</f>
        <v>0</v>
      </c>
      <c r="T22" s="235">
        <f>K22/G22*100*$T$16</f>
        <v>0</v>
      </c>
      <c r="U22" s="235">
        <f>L22/G22*100*$U$16</f>
        <v>0</v>
      </c>
      <c r="V22" s="235">
        <f>M22/G22*100*$V$16</f>
        <v>0</v>
      </c>
      <c r="W22" s="235">
        <f>N22/G22*100*$W$16</f>
        <v>0</v>
      </c>
      <c r="X22" s="236">
        <f>(SUM(Q22:W22))/100</f>
        <v>0</v>
      </c>
      <c r="Y22" s="242">
        <v>0.215</v>
      </c>
      <c r="Z22" s="176">
        <f t="shared" si="7"/>
        <v>0</v>
      </c>
      <c r="AA22" s="95"/>
      <c r="AB22" s="240"/>
    </row>
    <row r="23" spans="1:31" ht="26.4" customHeight="1" x14ac:dyDescent="0.35">
      <c r="B23" s="148"/>
      <c r="C23" s="84"/>
      <c r="D23" s="309" t="s">
        <v>160</v>
      </c>
      <c r="E23" s="309"/>
      <c r="F23" s="143" t="s">
        <v>117</v>
      </c>
      <c r="G23" s="306">
        <v>1</v>
      </c>
      <c r="H23" s="207"/>
      <c r="I23" s="168"/>
      <c r="J23" s="168"/>
      <c r="K23" s="168"/>
      <c r="L23" s="168"/>
      <c r="M23" s="168"/>
      <c r="N23" s="168"/>
      <c r="O23" s="292" t="str">
        <f>IF(H23+I23+J23+K23+L23+M23+N23=0,"Input Volume",IF(H23+I23+J23+K23+L23+M23+N23=G23,"OK",IF(H23+I23+J23+K23+L23+M23+N23&lt;G23,"Volume kurang",IF(H23+I23+J23+K23+L23+M23+N23&gt;G23,"Volume Kelebihan"))))</f>
        <v>Input Volume</v>
      </c>
      <c r="P23" s="288"/>
      <c r="Q23" s="220">
        <f>H23/G23*100*$Q$16</f>
        <v>0</v>
      </c>
      <c r="R23" s="221">
        <f>I23/G23*100*$R$16</f>
        <v>0</v>
      </c>
      <c r="S23" s="221">
        <f>J23/G23*100*$S$16</f>
        <v>0</v>
      </c>
      <c r="T23" s="221">
        <f>K23/G23*100*$T$16</f>
        <v>0</v>
      </c>
      <c r="U23" s="221">
        <f>L23/G23*100*$U$16</f>
        <v>0</v>
      </c>
      <c r="V23" s="221">
        <f>M23/G23*100*$V$16</f>
        <v>0</v>
      </c>
      <c r="W23" s="221">
        <f>N23/G23*100*$W$16</f>
        <v>0</v>
      </c>
      <c r="X23" s="227">
        <f>(SUM(Q23:W23))/100</f>
        <v>0</v>
      </c>
      <c r="Y23" s="243">
        <v>0.1</v>
      </c>
      <c r="Z23" s="177">
        <f t="shared" si="7"/>
        <v>0</v>
      </c>
      <c r="AA23" s="95"/>
    </row>
    <row r="24" spans="1:31" ht="36" customHeight="1" x14ac:dyDescent="0.35">
      <c r="B24" s="148"/>
      <c r="D24" s="309" t="s">
        <v>151</v>
      </c>
      <c r="E24" s="309"/>
      <c r="F24" s="143" t="s">
        <v>117</v>
      </c>
      <c r="G24" s="306">
        <v>1</v>
      </c>
      <c r="H24" s="207"/>
      <c r="I24" s="168"/>
      <c r="J24" s="168"/>
      <c r="K24" s="168"/>
      <c r="L24" s="168"/>
      <c r="M24" s="168"/>
      <c r="N24" s="168"/>
      <c r="O24" s="292" t="str">
        <f>IF(H24+I24+J24+K24+L24+M24+N24=0,"Input Volume",IF(H24+I24+J24+K24+L24+M24+N24=G24,"OK",IF(H24+I24+J24+K24+L24+M24+N24&lt;G24,"Volume kurang",IF(H24+I24+J24+K24+L24+M24+N24&gt;G24,"Volume Kelebihan"))))</f>
        <v>Input Volume</v>
      </c>
      <c r="P24" s="288"/>
      <c r="Q24" s="220">
        <f>H24/G24*100*$Q$16</f>
        <v>0</v>
      </c>
      <c r="R24" s="221">
        <f>I24/G24*100*$R$16</f>
        <v>0</v>
      </c>
      <c r="S24" s="221">
        <f>J24/G24*100*$S$16</f>
        <v>0</v>
      </c>
      <c r="T24" s="221">
        <f>K24/G24*100*$T$16</f>
        <v>0</v>
      </c>
      <c r="U24" s="221">
        <f>L24/G24*100*$U$16</f>
        <v>0</v>
      </c>
      <c r="V24" s="221">
        <f>M24/G24*100*$V$16</f>
        <v>0</v>
      </c>
      <c r="W24" s="221">
        <f>N24/G24*100*$W$16</f>
        <v>0</v>
      </c>
      <c r="X24" s="227">
        <f>(SUM(Q24:W24))/100</f>
        <v>0</v>
      </c>
      <c r="Y24" s="243">
        <v>0.14499999999999999</v>
      </c>
      <c r="Z24" s="177">
        <f t="shared" si="7"/>
        <v>0</v>
      </c>
      <c r="AA24" s="95"/>
    </row>
    <row r="25" spans="1:31" ht="36" customHeight="1" x14ac:dyDescent="0.35">
      <c r="B25" s="148"/>
      <c r="C25" s="84"/>
      <c r="D25" s="309" t="s">
        <v>201</v>
      </c>
      <c r="E25" s="309"/>
      <c r="F25" s="143" t="s">
        <v>86</v>
      </c>
      <c r="G25" s="261">
        <v>1</v>
      </c>
      <c r="H25" s="203"/>
      <c r="I25" s="166"/>
      <c r="J25" s="166"/>
      <c r="K25" s="166"/>
      <c r="L25" s="166"/>
      <c r="M25" s="166"/>
      <c r="N25" s="166"/>
      <c r="O25" s="292" t="str">
        <f>IF(G25=0,"Input Vol Seluruh Komponen",IF(H25+I25+J25+K25+L25+M25+N25=G25,"OK",IF(H25+I25+J25+K25+L25+M25+N25&lt;G25,"Volume Kurang",IF(H25+I25+J25+K25+L25+M25+N25&gt;G25,"Volume Lebih",IF(H25+I25+J25+K25+L25+M25+N25=0,"blank")))))</f>
        <v>Volume Kurang</v>
      </c>
      <c r="P25" s="289"/>
      <c r="Q25" s="220">
        <f t="shared" si="0"/>
        <v>0</v>
      </c>
      <c r="R25" s="221">
        <f t="shared" si="1"/>
        <v>0</v>
      </c>
      <c r="S25" s="221">
        <f t="shared" si="2"/>
        <v>0</v>
      </c>
      <c r="T25" s="221">
        <f t="shared" si="3"/>
        <v>0</v>
      </c>
      <c r="U25" s="221">
        <f t="shared" si="4"/>
        <v>0</v>
      </c>
      <c r="V25" s="221">
        <f t="shared" si="5"/>
        <v>0</v>
      </c>
      <c r="W25" s="221">
        <f t="shared" si="6"/>
        <v>0</v>
      </c>
      <c r="X25" s="227">
        <f t="shared" si="8"/>
        <v>0</v>
      </c>
      <c r="Y25" s="243">
        <v>0.01</v>
      </c>
      <c r="Z25" s="177">
        <f t="shared" si="7"/>
        <v>0</v>
      </c>
      <c r="AA25" s="95"/>
    </row>
    <row r="26" spans="1:31" ht="36" customHeight="1" x14ac:dyDescent="0.35">
      <c r="B26" s="148"/>
      <c r="C26" s="84"/>
      <c r="D26" s="309" t="s">
        <v>61</v>
      </c>
      <c r="E26" s="309"/>
      <c r="F26" s="143" t="s">
        <v>86</v>
      </c>
      <c r="G26" s="261">
        <v>1</v>
      </c>
      <c r="H26" s="203"/>
      <c r="I26" s="166"/>
      <c r="J26" s="166"/>
      <c r="K26" s="166"/>
      <c r="L26" s="166"/>
      <c r="M26" s="166"/>
      <c r="N26" s="166"/>
      <c r="O26" s="292" t="str">
        <f>IF(G26=0,"Input Vol Seluruh Komponen",IF(H26+I26+J26+K26+L26+M26+N26=G26,"OK",IF(H26+I26+J26+K26+L26+M26+N26&lt;G26,"Volume Kurang",IF(H26+I26+J26+K26+L26+M26+N26&gt;G26,"Volume Lebih",IF(H26+I26+J26+K26+L26+M26+N26=0,"blank")))))</f>
        <v>Volume Kurang</v>
      </c>
      <c r="P26" s="289"/>
      <c r="Q26" s="220">
        <f t="shared" si="0"/>
        <v>0</v>
      </c>
      <c r="R26" s="221">
        <f t="shared" si="1"/>
        <v>0</v>
      </c>
      <c r="S26" s="221">
        <f t="shared" si="2"/>
        <v>0</v>
      </c>
      <c r="T26" s="221">
        <f t="shared" si="3"/>
        <v>0</v>
      </c>
      <c r="U26" s="221">
        <f t="shared" si="4"/>
        <v>0</v>
      </c>
      <c r="V26" s="221">
        <f t="shared" si="5"/>
        <v>0</v>
      </c>
      <c r="W26" s="221">
        <f t="shared" si="6"/>
        <v>0</v>
      </c>
      <c r="X26" s="227">
        <f t="shared" si="8"/>
        <v>0</v>
      </c>
      <c r="Y26" s="243">
        <v>1.4999999999999999E-2</v>
      </c>
      <c r="Z26" s="177">
        <f t="shared" si="7"/>
        <v>0</v>
      </c>
      <c r="AA26" s="95"/>
    </row>
    <row r="27" spans="1:31" ht="36" customHeight="1" x14ac:dyDescent="0.35">
      <c r="B27" s="148"/>
      <c r="C27" s="84"/>
      <c r="D27" s="309" t="s">
        <v>157</v>
      </c>
      <c r="E27" s="309"/>
      <c r="F27" s="143" t="s">
        <v>86</v>
      </c>
      <c r="G27" s="261">
        <v>1</v>
      </c>
      <c r="H27" s="203"/>
      <c r="I27" s="166"/>
      <c r="J27" s="166"/>
      <c r="K27" s="166"/>
      <c r="L27" s="166"/>
      <c r="M27" s="166"/>
      <c r="N27" s="166"/>
      <c r="O27" s="292" t="str">
        <f>IF(G27=0,"Input Vol Seluruh Komponen",IF(H27+I27+J27+K27+L27+M27+N27=G27,"OK",IF(H27+I27+J27+K27+L27+M27+N27&lt;G27,"Volume Kurang",IF(H27+I27+J27+K27+L27+M27+N27&gt;G27,"Volume Lebih",IF(H27+I27+J27+K27+L27+M27+N27=0,"blank")))))</f>
        <v>Volume Kurang</v>
      </c>
      <c r="P27" s="289"/>
      <c r="Q27" s="220">
        <f t="shared" si="0"/>
        <v>0</v>
      </c>
      <c r="R27" s="221">
        <f t="shared" si="1"/>
        <v>0</v>
      </c>
      <c r="S27" s="221">
        <f t="shared" si="2"/>
        <v>0</v>
      </c>
      <c r="T27" s="221">
        <f t="shared" si="3"/>
        <v>0</v>
      </c>
      <c r="U27" s="221">
        <f t="shared" si="4"/>
        <v>0</v>
      </c>
      <c r="V27" s="221">
        <f t="shared" si="5"/>
        <v>0</v>
      </c>
      <c r="W27" s="221">
        <f t="shared" si="6"/>
        <v>0</v>
      </c>
      <c r="X27" s="227">
        <f t="shared" si="8"/>
        <v>0</v>
      </c>
      <c r="Y27" s="243">
        <v>0.02</v>
      </c>
      <c r="Z27" s="177">
        <f t="shared" si="7"/>
        <v>0</v>
      </c>
      <c r="AA27" s="95"/>
    </row>
    <row r="28" spans="1:31" ht="25.25" customHeight="1" x14ac:dyDescent="0.35">
      <c r="B28" s="148"/>
      <c r="C28" s="84"/>
      <c r="D28" s="309" t="s">
        <v>158</v>
      </c>
      <c r="E28" s="309"/>
      <c r="F28" s="143" t="s">
        <v>117</v>
      </c>
      <c r="G28" s="306">
        <v>1</v>
      </c>
      <c r="H28" s="207"/>
      <c r="I28" s="168"/>
      <c r="J28" s="168"/>
      <c r="K28" s="168"/>
      <c r="L28" s="168"/>
      <c r="M28" s="168"/>
      <c r="N28" s="168"/>
      <c r="O28" s="292" t="str">
        <f>IF(H28+I28+J28+K28+L28+M28+N28=0,"Input Volume",IF(H28+I28+J28+K28+L28+M28+N28=G28,"OK",IF(H28+I28+J28+K28+L28+M28+N28&lt;G28,"Volume kurang",IF(H28+I28+J28+K28+L28+M28+N28&gt;G28,"Volume Kelebihan"))))</f>
        <v>Input Volume</v>
      </c>
      <c r="P28" s="289"/>
      <c r="Q28" s="220">
        <f>H28/G28*100*$Q$16</f>
        <v>0</v>
      </c>
      <c r="R28" s="221">
        <f>I28/G28*100*$R$16</f>
        <v>0</v>
      </c>
      <c r="S28" s="221">
        <f>J28/G28*100*$S$16</f>
        <v>0</v>
      </c>
      <c r="T28" s="221">
        <f>K28/G28*100*$T$16</f>
        <v>0</v>
      </c>
      <c r="U28" s="221">
        <f>L28/G28*100*$U$16</f>
        <v>0</v>
      </c>
      <c r="V28" s="221">
        <f>M28/G28*100*$V$16</f>
        <v>0</v>
      </c>
      <c r="W28" s="221">
        <f>N28/G28*100*$W$16</f>
        <v>0</v>
      </c>
      <c r="X28" s="227">
        <f>(SUM(Q28:W28))/100</f>
        <v>0</v>
      </c>
      <c r="Y28" s="243">
        <v>0.03</v>
      </c>
      <c r="Z28" s="177">
        <f t="shared" si="7"/>
        <v>0</v>
      </c>
      <c r="AA28" s="95"/>
    </row>
    <row r="29" spans="1:31" ht="25.25" customHeight="1" x14ac:dyDescent="0.35">
      <c r="B29" s="148"/>
      <c r="C29" s="84"/>
      <c r="D29" s="309" t="s">
        <v>73</v>
      </c>
      <c r="E29" s="309"/>
      <c r="F29" s="143" t="s">
        <v>117</v>
      </c>
      <c r="G29" s="306">
        <v>1</v>
      </c>
      <c r="H29" s="207"/>
      <c r="I29" s="168"/>
      <c r="J29" s="168"/>
      <c r="K29" s="168"/>
      <c r="L29" s="168"/>
      <c r="M29" s="168"/>
      <c r="N29" s="168"/>
      <c r="O29" s="292" t="str">
        <f>IF(H29+I29+J29+K29+L29+M29+N29=0,"Input Volume",IF(H29+I29+J29+K29+L29+M29+N29=G29,"OK",IF(H29+I29+J29+K29+L29+M29+N29&lt;G29,"Volume kurang",IF(H29+I29+J29+K29+L29+M29+N29&gt;G29,"Volume Kelebihan"))))</f>
        <v>Input Volume</v>
      </c>
      <c r="P29" s="289"/>
      <c r="Q29" s="220">
        <f>H29/G29*100*$Q$16</f>
        <v>0</v>
      </c>
      <c r="R29" s="221">
        <f>I29/G29*100*$R$16</f>
        <v>0</v>
      </c>
      <c r="S29" s="221">
        <f>J29/G29*100*$S$16</f>
        <v>0</v>
      </c>
      <c r="T29" s="221">
        <f>K29/G29*100*$T$16</f>
        <v>0</v>
      </c>
      <c r="U29" s="221">
        <f>L29/G29*100*$U$16</f>
        <v>0</v>
      </c>
      <c r="V29" s="221">
        <f>M29/G29*100*$V$16</f>
        <v>0</v>
      </c>
      <c r="W29" s="221">
        <f>N29/G29*100*$W$16</f>
        <v>0</v>
      </c>
      <c r="X29" s="227">
        <f>(SUM(Q29:W29))/100</f>
        <v>0</v>
      </c>
      <c r="Y29" s="243">
        <v>0.04</v>
      </c>
      <c r="Z29" s="177">
        <f t="shared" si="7"/>
        <v>0</v>
      </c>
      <c r="AA29" s="95"/>
    </row>
    <row r="30" spans="1:31" ht="25.25" customHeight="1" x14ac:dyDescent="0.35">
      <c r="A30" s="109"/>
      <c r="B30" s="175"/>
      <c r="C30" s="79"/>
      <c r="D30" s="310" t="s">
        <v>159</v>
      </c>
      <c r="E30" s="310"/>
      <c r="F30" s="262" t="s">
        <v>117</v>
      </c>
      <c r="G30" s="307">
        <v>1</v>
      </c>
      <c r="H30" s="265"/>
      <c r="I30" s="266"/>
      <c r="J30" s="266"/>
      <c r="K30" s="266"/>
      <c r="L30" s="266"/>
      <c r="M30" s="266"/>
      <c r="N30" s="266"/>
      <c r="O30" s="293" t="str">
        <f>IF(H30+I30+J30+K30+L30+M30+N30=0,"Input Volume",IF(H30+I30+J30+K30+L30+M30+N30=G30,"OK",IF(H30+I30+J30+K30+L30+M30+N30&lt;G30,"Volume kurang",IF(H30+I30+J30+K30+L30+M30+N30&gt;G30,"Volume Kelebihan"))))</f>
        <v>Input Volume</v>
      </c>
      <c r="P30" s="290"/>
      <c r="Q30" s="268">
        <f>H30/G30*100*$Q$16</f>
        <v>0</v>
      </c>
      <c r="R30" s="269">
        <f>I30/G30*100*$R$16</f>
        <v>0</v>
      </c>
      <c r="S30" s="269">
        <f>J30/G30*100*$S$16</f>
        <v>0</v>
      </c>
      <c r="T30" s="269">
        <f>K30/G30*100*$T$16</f>
        <v>0</v>
      </c>
      <c r="U30" s="269">
        <f>L30/G30*100*$U$16</f>
        <v>0</v>
      </c>
      <c r="V30" s="269">
        <f>M30/G30*100*$V$16</f>
        <v>0</v>
      </c>
      <c r="W30" s="269">
        <f>N30/G30*100*$W$16</f>
        <v>0</v>
      </c>
      <c r="X30" s="270">
        <f>(SUM(Q30:W30))/100</f>
        <v>0</v>
      </c>
      <c r="Y30" s="271">
        <v>0.02</v>
      </c>
      <c r="Z30" s="272">
        <f t="shared" si="7"/>
        <v>0</v>
      </c>
      <c r="AA30" s="95"/>
    </row>
    <row r="31" spans="1:31" ht="36" customHeight="1" x14ac:dyDescent="0.35">
      <c r="B31" s="145">
        <v>3</v>
      </c>
      <c r="C31" s="82" t="s">
        <v>66</v>
      </c>
      <c r="D31" s="311" t="s">
        <v>67</v>
      </c>
      <c r="E31" s="311"/>
      <c r="F31" s="149" t="s">
        <v>196</v>
      </c>
      <c r="G31" s="173"/>
      <c r="H31" s="393" t="s">
        <v>204</v>
      </c>
      <c r="I31" s="394"/>
      <c r="J31" s="394"/>
      <c r="K31" s="394"/>
      <c r="L31" s="394"/>
      <c r="M31" s="394"/>
      <c r="N31" s="394"/>
      <c r="O31" s="395"/>
      <c r="P31" s="289"/>
      <c r="Q31" s="350"/>
      <c r="R31" s="351"/>
      <c r="S31" s="351"/>
      <c r="T31" s="351"/>
      <c r="U31" s="351"/>
      <c r="V31" s="351"/>
      <c r="W31" s="352"/>
      <c r="X31" s="226">
        <f>VLOOKUP(H31,Sheet5!B3:C9,2,FALSE)</f>
        <v>0</v>
      </c>
      <c r="Y31" s="244">
        <v>0.01</v>
      </c>
      <c r="Z31" s="223">
        <f t="shared" si="7"/>
        <v>0</v>
      </c>
      <c r="AA31" s="95"/>
    </row>
    <row r="32" spans="1:31" ht="36" customHeight="1" x14ac:dyDescent="0.35">
      <c r="B32" s="148"/>
      <c r="C32" s="84"/>
      <c r="D32" s="309" t="s">
        <v>195</v>
      </c>
      <c r="E32" s="309"/>
      <c r="F32" s="143" t="s">
        <v>196</v>
      </c>
      <c r="G32" s="172"/>
      <c r="H32" s="347" t="s">
        <v>211</v>
      </c>
      <c r="I32" s="348"/>
      <c r="J32" s="348"/>
      <c r="K32" s="348"/>
      <c r="L32" s="348"/>
      <c r="M32" s="348"/>
      <c r="N32" s="348"/>
      <c r="O32" s="349"/>
      <c r="P32" s="289"/>
      <c r="Q32" s="353"/>
      <c r="R32" s="354"/>
      <c r="S32" s="354"/>
      <c r="T32" s="354"/>
      <c r="U32" s="354"/>
      <c r="V32" s="354"/>
      <c r="W32" s="355"/>
      <c r="X32" s="227">
        <f>VLOOKUP(H32,Sheet5!B21:C27,2,FALSE)</f>
        <v>0</v>
      </c>
      <c r="Y32" s="243">
        <v>0.01</v>
      </c>
      <c r="Z32" s="177">
        <f t="shared" si="7"/>
        <v>0</v>
      </c>
      <c r="AA32" s="95"/>
    </row>
    <row r="33" spans="2:27" ht="33" customHeight="1" thickBot="1" x14ac:dyDescent="0.4">
      <c r="B33" s="175"/>
      <c r="C33" s="79"/>
      <c r="D33" s="308" t="s">
        <v>198</v>
      </c>
      <c r="E33" s="308"/>
      <c r="F33" s="238" t="s">
        <v>203</v>
      </c>
      <c r="G33" s="239">
        <v>1</v>
      </c>
      <c r="H33" s="209"/>
      <c r="I33" s="169"/>
      <c r="J33" s="169"/>
      <c r="K33" s="169"/>
      <c r="L33" s="169"/>
      <c r="M33" s="169"/>
      <c r="N33" s="169"/>
      <c r="O33" s="294" t="str">
        <f>IF(H33+I33+J33+K33+L33+M33+N33=0,"Input Volume",IF(H33+I33+J33+K33+L33+M33+N33=G33,"OK",IF(H33+I33+J33+K33+L33+M33+N33&lt;G33,"Volume kurang",IF(H33+I33+J33+K33+L33+M33+N33&gt;G33,"Volume Kelebihan"))))</f>
        <v>Input Volume</v>
      </c>
      <c r="P33" s="291"/>
      <c r="Q33" s="276">
        <f>H33/G33*$Q$16</f>
        <v>0</v>
      </c>
      <c r="R33" s="277">
        <f>I33/G33*$R$16</f>
        <v>0</v>
      </c>
      <c r="S33" s="277">
        <f>J33/G33*$S$16</f>
        <v>0</v>
      </c>
      <c r="T33" s="277">
        <f>K33/G33*$T$16</f>
        <v>0</v>
      </c>
      <c r="U33" s="277">
        <f>L33/G33*$U$16</f>
        <v>0</v>
      </c>
      <c r="V33" s="277">
        <f>M33/G33*$V$16</f>
        <v>0</v>
      </c>
      <c r="W33" s="277">
        <f>N33/G33*$W$16</f>
        <v>0</v>
      </c>
      <c r="X33" s="278">
        <f t="shared" ref="X33" si="9">SUM(Q33:W33)</f>
        <v>0</v>
      </c>
      <c r="Y33" s="245">
        <v>1.4999999999999999E-2</v>
      </c>
      <c r="Z33" s="279">
        <f t="shared" si="7"/>
        <v>0</v>
      </c>
      <c r="AA33" s="95"/>
    </row>
    <row r="34" spans="2:27" ht="42.65" customHeight="1" thickBot="1" x14ac:dyDescent="0.4">
      <c r="B34" s="146"/>
      <c r="C34" s="147"/>
      <c r="D34" s="147"/>
      <c r="E34" s="147"/>
      <c r="F34" s="144"/>
      <c r="G34" s="144"/>
      <c r="H34" s="259"/>
      <c r="I34" s="147"/>
      <c r="J34" s="147"/>
      <c r="K34" s="147"/>
      <c r="L34" s="147"/>
      <c r="M34" s="147"/>
      <c r="N34" s="260"/>
      <c r="O34" s="300"/>
      <c r="P34" s="179" t="str">
        <f>IF(P18=Sheet1!C5,"Membahayakan Keselamatan",IF(P19=Sheet1!C5,"Membahayakan Keselamatan",IF(P20=Sheet1!C5,"Membahayakan Keselamatan",IF(P21=Sheet1!C5,"Membahayakan Keselamatan",IF(P22=Sheet1!C5,"Membahayakan Keselamatan",IF(P18=Sheet1!C6,"Tidak Membahayakan Keselamatan",IF(P19=Sheet1!C6,"Tidak Membahayakan Keselamatan",IF(P20=Sheet1!C6,"Tidak Membahayakan Keselamatan",IF(P21=Sheet1!C6,"Tidak Membahayakan Keselamatan",IF(P22=Sheet1!C6,"Tidak Membahayakan Keselamatan","Cek Kerusakan Komponen Lain"))))))))))</f>
        <v>Cek Kerusakan Komponen Lain</v>
      </c>
      <c r="Q34" s="339" t="s">
        <v>223</v>
      </c>
      <c r="R34" s="339"/>
      <c r="S34" s="339"/>
      <c r="T34" s="339"/>
      <c r="U34" s="339"/>
      <c r="V34" s="339"/>
      <c r="W34" s="339"/>
      <c r="X34" s="339"/>
      <c r="Y34" s="340"/>
      <c r="Z34" s="155">
        <f>SUM(Z18:Z33)</f>
        <v>0</v>
      </c>
      <c r="AA34" s="95"/>
    </row>
    <row r="35" spans="2:27" ht="15" thickBot="1" x14ac:dyDescent="0.4">
      <c r="B35" s="93"/>
      <c r="C35" s="89"/>
      <c r="D35" s="89"/>
      <c r="E35" s="89"/>
      <c r="F35" s="90"/>
      <c r="G35" s="93"/>
      <c r="H35" s="89"/>
      <c r="I35" s="89"/>
      <c r="J35" s="89"/>
      <c r="K35" s="89"/>
      <c r="L35" s="89"/>
      <c r="M35" s="89"/>
      <c r="N35" s="89"/>
      <c r="O35" s="29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95"/>
    </row>
    <row r="36" spans="2:27" ht="42.75" customHeight="1" thickBot="1" x14ac:dyDescent="0.4">
      <c r="B36" s="93"/>
      <c r="C36" s="89"/>
      <c r="D36" s="89"/>
      <c r="E36" s="89"/>
      <c r="F36" s="90"/>
      <c r="G36" s="93"/>
      <c r="H36" s="89"/>
      <c r="I36" s="89"/>
      <c r="J36" s="89"/>
      <c r="K36" s="89"/>
      <c r="L36" s="89"/>
      <c r="M36" s="89"/>
      <c r="N36" s="89"/>
      <c r="O36" s="296"/>
      <c r="P36" s="89"/>
      <c r="Q36" s="336" t="s">
        <v>224</v>
      </c>
      <c r="R36" s="337"/>
      <c r="S36" s="337"/>
      <c r="T36" s="337"/>
      <c r="U36" s="337"/>
      <c r="V36" s="337"/>
      <c r="W36" s="337"/>
      <c r="X36" s="337"/>
      <c r="Y36" s="338"/>
      <c r="Z36" s="216" t="str">
        <f>IF(P34="Membahayakan Keselamatan","Rusak Berat",Z37)</f>
        <v>Tidak Ada Kerusakan</v>
      </c>
      <c r="AA36" s="95"/>
    </row>
    <row r="37" spans="2:27" x14ac:dyDescent="0.35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296"/>
      <c r="P37" s="89"/>
      <c r="Q37" s="89"/>
      <c r="R37" s="89"/>
      <c r="S37" s="89"/>
      <c r="T37" s="89"/>
      <c r="U37" s="108"/>
      <c r="V37" s="89"/>
      <c r="W37" s="89"/>
      <c r="X37" s="89"/>
      <c r="Y37" s="89"/>
      <c r="Z37" s="156" t="str">
        <f>IF(Z34=0,"Tidak Ada Kerusakan",IF(Z34&lt;=0.3,"Rusak Ringan",IF(Z34&gt;0.45,"Rusak Berat","Rusak Sedang")))</f>
        <v>Tidak Ada Kerusakan</v>
      </c>
      <c r="AA37" s="95"/>
    </row>
    <row r="38" spans="2:27" ht="15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296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95"/>
    </row>
    <row r="39" spans="2:27" ht="15" thickTop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296"/>
      <c r="P39" s="89"/>
      <c r="Q39" s="89"/>
      <c r="R39" s="89"/>
      <c r="S39" s="89"/>
      <c r="T39" s="89"/>
      <c r="U39" s="89"/>
      <c r="V39" s="89"/>
      <c r="W39" s="89"/>
      <c r="X39" s="331" t="s">
        <v>76</v>
      </c>
      <c r="Y39" s="332"/>
      <c r="Z39" s="333"/>
      <c r="AA39" s="95"/>
    </row>
    <row r="40" spans="2:27" ht="21.75" customHeight="1" thickBot="1" x14ac:dyDescent="0.4">
      <c r="B40" s="125"/>
      <c r="C40" s="103"/>
      <c r="D40" s="103"/>
      <c r="E40" s="103"/>
      <c r="F40" s="103"/>
      <c r="G40" s="127"/>
      <c r="H40" s="103"/>
      <c r="I40" s="103"/>
      <c r="J40" s="103"/>
      <c r="K40" s="103"/>
      <c r="L40" s="103"/>
      <c r="M40" s="89"/>
      <c r="N40" s="89"/>
      <c r="O40" s="296"/>
      <c r="P40" s="89"/>
      <c r="Q40" s="89"/>
      <c r="R40" s="89"/>
      <c r="S40" s="89"/>
      <c r="T40" s="89"/>
      <c r="U40" s="89"/>
      <c r="V40" s="89"/>
      <c r="W40" s="89"/>
      <c r="X40" s="133" t="s">
        <v>140</v>
      </c>
      <c r="Z40" s="134" t="s">
        <v>141</v>
      </c>
      <c r="AA40" s="95"/>
    </row>
    <row r="41" spans="2:27" ht="20" customHeight="1" x14ac:dyDescent="0.35">
      <c r="B41" s="334" t="s">
        <v>78</v>
      </c>
      <c r="C41" s="335"/>
      <c r="D41" s="335"/>
      <c r="E41" s="335"/>
      <c r="F41" s="335"/>
      <c r="G41" s="335"/>
      <c r="H41" s="157"/>
      <c r="I41" s="157"/>
      <c r="J41" s="157"/>
      <c r="K41" s="157"/>
      <c r="L41" s="157"/>
      <c r="M41" s="157"/>
      <c r="N41" s="157"/>
      <c r="O41" s="301"/>
      <c r="P41" s="157"/>
      <c r="Q41" s="157"/>
      <c r="R41" s="157"/>
      <c r="S41" s="157"/>
      <c r="T41" s="157"/>
      <c r="U41" s="160"/>
      <c r="V41" s="89"/>
      <c r="W41" s="89"/>
      <c r="X41" s="133" t="s">
        <v>142</v>
      </c>
      <c r="Z41" s="134" t="s">
        <v>143</v>
      </c>
      <c r="AA41" s="95"/>
    </row>
    <row r="42" spans="2:27" ht="20" customHeight="1" thickBot="1" x14ac:dyDescent="0.4">
      <c r="B42" s="323"/>
      <c r="C42" s="324"/>
      <c r="D42" s="324"/>
      <c r="E42" s="324"/>
      <c r="F42" s="324"/>
      <c r="G42" s="324"/>
      <c r="H42" s="158"/>
      <c r="I42" s="158"/>
      <c r="J42" s="158"/>
      <c r="K42" s="158"/>
      <c r="L42" s="158"/>
      <c r="M42" s="158"/>
      <c r="N42" s="158"/>
      <c r="O42" s="302"/>
      <c r="P42" s="158"/>
      <c r="Q42" s="158"/>
      <c r="R42" s="158"/>
      <c r="S42" s="158"/>
      <c r="T42" s="158"/>
      <c r="U42" s="161"/>
      <c r="V42" s="89"/>
      <c r="W42" s="89"/>
      <c r="X42" s="135" t="s">
        <v>144</v>
      </c>
      <c r="Y42" s="136"/>
      <c r="Z42" s="137" t="s">
        <v>145</v>
      </c>
      <c r="AA42" s="95"/>
    </row>
    <row r="43" spans="2:27" ht="20" customHeight="1" thickTop="1" x14ac:dyDescent="0.35">
      <c r="B43" s="323"/>
      <c r="C43" s="324"/>
      <c r="D43" s="324"/>
      <c r="E43" s="324"/>
      <c r="F43" s="324"/>
      <c r="G43" s="324"/>
      <c r="H43" s="158"/>
      <c r="I43" s="158"/>
      <c r="J43" s="158"/>
      <c r="K43" s="158"/>
      <c r="L43" s="158"/>
      <c r="M43" s="158"/>
      <c r="N43" s="158"/>
      <c r="O43" s="302"/>
      <c r="P43" s="158"/>
      <c r="Q43" s="158"/>
      <c r="R43" s="158"/>
      <c r="S43" s="158"/>
      <c r="T43" s="158"/>
      <c r="U43" s="161"/>
      <c r="V43" s="89"/>
      <c r="W43" s="89"/>
      <c r="X43" s="89"/>
      <c r="Y43" s="89"/>
      <c r="Z43" s="89"/>
      <c r="AA43" s="89"/>
    </row>
    <row r="44" spans="2:27" ht="20" customHeight="1" x14ac:dyDescent="0.35">
      <c r="B44" s="323"/>
      <c r="C44" s="324"/>
      <c r="D44" s="324"/>
      <c r="E44" s="324"/>
      <c r="F44" s="324"/>
      <c r="G44" s="324"/>
      <c r="H44" s="158"/>
      <c r="I44" s="158"/>
      <c r="J44" s="158"/>
      <c r="K44" s="158"/>
      <c r="L44" s="158"/>
      <c r="M44" s="158"/>
      <c r="N44" s="158"/>
      <c r="O44" s="302"/>
      <c r="P44" s="158"/>
      <c r="Q44" s="158"/>
      <c r="R44" s="158"/>
      <c r="S44" s="158"/>
      <c r="T44" s="158"/>
      <c r="U44" s="161"/>
      <c r="V44" s="89"/>
      <c r="W44" s="89"/>
      <c r="X44" s="320" t="s">
        <v>79</v>
      </c>
      <c r="Y44" s="320"/>
      <c r="Z44" s="320"/>
      <c r="AA44" s="95"/>
    </row>
    <row r="45" spans="2:27" ht="20" customHeight="1" x14ac:dyDescent="0.35">
      <c r="B45" s="323"/>
      <c r="C45" s="324"/>
      <c r="D45" s="324"/>
      <c r="E45" s="324"/>
      <c r="F45" s="324"/>
      <c r="G45" s="324"/>
      <c r="H45" s="158"/>
      <c r="I45" s="158"/>
      <c r="J45" s="158"/>
      <c r="K45" s="158"/>
      <c r="L45" s="158"/>
      <c r="M45" s="158"/>
      <c r="N45" s="158"/>
      <c r="O45" s="302"/>
      <c r="P45" s="158"/>
      <c r="Q45" s="158"/>
      <c r="R45" s="158"/>
      <c r="S45" s="158"/>
      <c r="T45" s="158"/>
      <c r="U45" s="161"/>
      <c r="V45" s="89"/>
      <c r="W45" s="89"/>
      <c r="X45" s="321" t="s">
        <v>139</v>
      </c>
      <c r="Y45" s="321"/>
      <c r="Z45" s="321"/>
      <c r="AA45" s="95"/>
    </row>
    <row r="46" spans="2:27" ht="20" customHeight="1" x14ac:dyDescent="0.35">
      <c r="B46" s="323"/>
      <c r="C46" s="324"/>
      <c r="D46" s="324"/>
      <c r="E46" s="324"/>
      <c r="F46" s="324"/>
      <c r="G46" s="324"/>
      <c r="H46" s="158"/>
      <c r="I46" s="158"/>
      <c r="J46" s="158"/>
      <c r="K46" s="158"/>
      <c r="L46" s="158"/>
      <c r="M46" s="158"/>
      <c r="N46" s="158"/>
      <c r="O46" s="302"/>
      <c r="P46" s="158"/>
      <c r="Q46" s="158"/>
      <c r="R46" s="158"/>
      <c r="S46" s="158"/>
      <c r="T46" s="158"/>
      <c r="U46" s="161"/>
      <c r="V46" s="89"/>
      <c r="W46" s="89"/>
      <c r="X46" s="89"/>
      <c r="Y46" s="89"/>
      <c r="Z46" s="89"/>
      <c r="AA46" s="89"/>
    </row>
    <row r="47" spans="2:27" ht="20" customHeight="1" x14ac:dyDescent="0.35">
      <c r="B47" s="323"/>
      <c r="C47" s="324"/>
      <c r="D47" s="324"/>
      <c r="E47" s="324"/>
      <c r="F47" s="324"/>
      <c r="G47" s="324"/>
      <c r="H47" s="158"/>
      <c r="I47" s="158"/>
      <c r="J47" s="158"/>
      <c r="K47" s="158"/>
      <c r="L47" s="158"/>
      <c r="M47" s="158"/>
      <c r="N47" s="158"/>
      <c r="O47" s="302"/>
      <c r="P47" s="158"/>
      <c r="Q47" s="158"/>
      <c r="R47" s="158"/>
      <c r="S47" s="158"/>
      <c r="T47" s="158"/>
      <c r="U47" s="161"/>
      <c r="V47" s="89"/>
      <c r="W47" s="89"/>
      <c r="X47" s="89"/>
      <c r="Y47" s="89"/>
      <c r="Z47" s="89"/>
      <c r="AA47" s="89"/>
    </row>
    <row r="48" spans="2:27" ht="20" customHeight="1" x14ac:dyDescent="0.35">
      <c r="B48" s="323"/>
      <c r="C48" s="324"/>
      <c r="D48" s="324"/>
      <c r="E48" s="324"/>
      <c r="F48" s="324"/>
      <c r="G48" s="324"/>
      <c r="H48" s="158"/>
      <c r="I48" s="158"/>
      <c r="J48" s="158"/>
      <c r="K48" s="158"/>
      <c r="L48" s="158"/>
      <c r="M48" s="158"/>
      <c r="N48" s="158"/>
      <c r="O48" s="302"/>
      <c r="P48" s="158"/>
      <c r="Q48" s="158"/>
      <c r="R48" s="158"/>
      <c r="S48" s="158"/>
      <c r="T48" s="158"/>
      <c r="U48" s="161"/>
      <c r="V48" s="89"/>
      <c r="W48" s="89"/>
      <c r="X48" s="319" t="s">
        <v>81</v>
      </c>
      <c r="Y48" s="319"/>
      <c r="Z48" s="319"/>
      <c r="AA48" s="95"/>
    </row>
    <row r="49" spans="2:27" ht="20" customHeight="1" x14ac:dyDescent="0.35">
      <c r="B49" s="323"/>
      <c r="C49" s="324"/>
      <c r="D49" s="324"/>
      <c r="E49" s="324"/>
      <c r="F49" s="324"/>
      <c r="G49" s="324"/>
      <c r="H49" s="158"/>
      <c r="I49" s="158"/>
      <c r="J49" s="158"/>
      <c r="K49" s="158"/>
      <c r="L49" s="158"/>
      <c r="M49" s="158"/>
      <c r="N49" s="158"/>
      <c r="O49" s="302"/>
      <c r="P49" s="158"/>
      <c r="Q49" s="158"/>
      <c r="R49" s="158"/>
      <c r="S49" s="158"/>
      <c r="T49" s="158"/>
      <c r="U49" s="161"/>
      <c r="V49" s="89"/>
      <c r="W49" s="89"/>
      <c r="X49" s="320" t="s">
        <v>133</v>
      </c>
      <c r="Y49" s="320" t="s">
        <v>132</v>
      </c>
      <c r="Z49" s="320"/>
      <c r="AA49" s="95"/>
    </row>
    <row r="50" spans="2:27" x14ac:dyDescent="0.35">
      <c r="B50" s="323"/>
      <c r="C50" s="324"/>
      <c r="D50" s="324"/>
      <c r="E50" s="324"/>
      <c r="F50" s="324"/>
      <c r="G50" s="324"/>
      <c r="H50" s="158"/>
      <c r="I50" s="158"/>
      <c r="J50" s="158"/>
      <c r="K50" s="158"/>
      <c r="L50" s="158"/>
      <c r="M50" s="158"/>
      <c r="N50" s="158"/>
      <c r="O50" s="302"/>
      <c r="P50" s="158"/>
      <c r="Q50" s="158"/>
      <c r="R50" s="158"/>
      <c r="S50" s="158"/>
      <c r="T50" s="158"/>
      <c r="U50" s="161"/>
      <c r="V50" s="89"/>
      <c r="W50" s="89"/>
      <c r="X50" s="322" t="s">
        <v>135</v>
      </c>
      <c r="Y50" s="322"/>
      <c r="Z50" s="322"/>
      <c r="AA50" s="95"/>
    </row>
    <row r="51" spans="2:27" ht="20" customHeight="1" x14ac:dyDescent="0.35">
      <c r="B51" s="323"/>
      <c r="C51" s="324"/>
      <c r="D51" s="324"/>
      <c r="E51" s="324"/>
      <c r="F51" s="324"/>
      <c r="G51" s="324"/>
      <c r="H51" s="158"/>
      <c r="I51" s="158"/>
      <c r="J51" s="158"/>
      <c r="K51" s="158"/>
      <c r="L51" s="158"/>
      <c r="M51" s="158"/>
      <c r="N51" s="158"/>
      <c r="O51" s="302"/>
      <c r="P51" s="158"/>
      <c r="Q51" s="158"/>
      <c r="R51" s="158"/>
      <c r="S51" s="158"/>
      <c r="T51" s="158"/>
      <c r="U51" s="161"/>
      <c r="V51" s="89"/>
      <c r="W51" s="89"/>
      <c r="X51" s="89"/>
      <c r="Y51" s="89"/>
      <c r="Z51" s="89"/>
      <c r="AA51" s="89"/>
    </row>
    <row r="52" spans="2:27" ht="20" customHeight="1" x14ac:dyDescent="0.35">
      <c r="B52" s="323"/>
      <c r="C52" s="324"/>
      <c r="D52" s="324"/>
      <c r="E52" s="324"/>
      <c r="F52" s="324"/>
      <c r="G52" s="324"/>
      <c r="H52" s="158"/>
      <c r="I52" s="158"/>
      <c r="J52" s="158"/>
      <c r="K52" s="158"/>
      <c r="L52" s="158"/>
      <c r="M52" s="158"/>
      <c r="N52" s="158"/>
      <c r="O52" s="302"/>
      <c r="P52" s="158"/>
      <c r="Q52" s="158"/>
      <c r="R52" s="158"/>
      <c r="S52" s="158"/>
      <c r="T52" s="158"/>
      <c r="U52" s="161"/>
      <c r="V52" s="89"/>
      <c r="W52" s="89"/>
      <c r="X52" s="89"/>
      <c r="Y52" s="89"/>
      <c r="Z52" s="89"/>
      <c r="AA52" s="89"/>
    </row>
    <row r="53" spans="2:27" ht="20" customHeight="1" x14ac:dyDescent="0.35">
      <c r="B53" s="323"/>
      <c r="C53" s="324"/>
      <c r="D53" s="324"/>
      <c r="E53" s="324"/>
      <c r="F53" s="324"/>
      <c r="G53" s="324"/>
      <c r="H53" s="158"/>
      <c r="I53" s="158"/>
      <c r="J53" s="158"/>
      <c r="K53" s="158"/>
      <c r="L53" s="158"/>
      <c r="M53" s="158"/>
      <c r="N53" s="158"/>
      <c r="O53" s="302"/>
      <c r="P53" s="158"/>
      <c r="Q53" s="158"/>
      <c r="R53" s="158"/>
      <c r="S53" s="158"/>
      <c r="T53" s="158"/>
      <c r="U53" s="161"/>
      <c r="V53" s="89"/>
      <c r="W53" s="89"/>
      <c r="X53" s="319" t="s">
        <v>81</v>
      </c>
      <c r="Y53" s="319"/>
      <c r="Z53" s="319"/>
      <c r="AA53" s="95"/>
    </row>
    <row r="54" spans="2:27" ht="20" customHeight="1" x14ac:dyDescent="0.35">
      <c r="B54" s="323"/>
      <c r="C54" s="324"/>
      <c r="D54" s="324"/>
      <c r="E54" s="324"/>
      <c r="F54" s="324"/>
      <c r="G54" s="324"/>
      <c r="H54" s="158"/>
      <c r="I54" s="158"/>
      <c r="J54" s="158"/>
      <c r="K54" s="158"/>
      <c r="L54" s="158"/>
      <c r="M54" s="158"/>
      <c r="N54" s="158"/>
      <c r="O54" s="302"/>
      <c r="P54" s="158"/>
      <c r="Q54" s="158"/>
      <c r="R54" s="158"/>
      <c r="S54" s="158"/>
      <c r="T54" s="158"/>
      <c r="U54" s="161"/>
      <c r="V54" s="89"/>
      <c r="W54" s="89"/>
      <c r="X54" s="320" t="s">
        <v>134</v>
      </c>
      <c r="Y54" s="320" t="s">
        <v>132</v>
      </c>
      <c r="Z54" s="320"/>
      <c r="AA54" s="95"/>
    </row>
    <row r="55" spans="2:27" ht="30" customHeight="1" x14ac:dyDescent="0.35">
      <c r="B55" s="323"/>
      <c r="C55" s="324"/>
      <c r="D55" s="324"/>
      <c r="E55" s="324"/>
      <c r="F55" s="324"/>
      <c r="G55" s="324"/>
      <c r="H55" s="158"/>
      <c r="I55" s="158"/>
      <c r="J55" s="158"/>
      <c r="K55" s="158"/>
      <c r="L55" s="158"/>
      <c r="M55" s="158"/>
      <c r="N55" s="158"/>
      <c r="O55" s="302"/>
      <c r="P55" s="158"/>
      <c r="Q55" s="158"/>
      <c r="R55" s="158"/>
      <c r="S55" s="158"/>
      <c r="T55" s="158"/>
      <c r="U55" s="161"/>
      <c r="V55" s="89"/>
      <c r="W55" s="89"/>
      <c r="X55" s="322" t="s">
        <v>131</v>
      </c>
      <c r="Y55" s="322"/>
      <c r="Z55" s="322"/>
      <c r="AA55" s="95"/>
    </row>
    <row r="56" spans="2:27" ht="21" customHeight="1" x14ac:dyDescent="0.35">
      <c r="B56" s="323"/>
      <c r="C56" s="324"/>
      <c r="D56" s="324"/>
      <c r="E56" s="324"/>
      <c r="F56" s="324"/>
      <c r="G56" s="324"/>
      <c r="H56" s="158"/>
      <c r="I56" s="158"/>
      <c r="J56" s="158"/>
      <c r="K56" s="158"/>
      <c r="L56" s="158"/>
      <c r="M56" s="158"/>
      <c r="N56" s="158"/>
      <c r="O56" s="302"/>
      <c r="P56" s="158"/>
      <c r="Q56" s="158"/>
      <c r="R56" s="158"/>
      <c r="S56" s="158"/>
      <c r="T56" s="158"/>
      <c r="U56" s="161"/>
      <c r="V56" s="89"/>
      <c r="W56" s="89"/>
      <c r="X56" s="89"/>
      <c r="Y56" s="89"/>
      <c r="Z56" s="89"/>
      <c r="AA56" s="89"/>
    </row>
    <row r="57" spans="2:27" ht="20" customHeight="1" thickBot="1" x14ac:dyDescent="0.4">
      <c r="B57" s="325"/>
      <c r="C57" s="326"/>
      <c r="D57" s="326"/>
      <c r="E57" s="326"/>
      <c r="F57" s="326"/>
      <c r="G57" s="326"/>
      <c r="H57" s="159"/>
      <c r="I57" s="159"/>
      <c r="J57" s="159"/>
      <c r="K57" s="159"/>
      <c r="L57" s="159"/>
      <c r="M57" s="159"/>
      <c r="N57" s="159"/>
      <c r="O57" s="303"/>
      <c r="P57" s="159"/>
      <c r="Q57" s="159"/>
      <c r="R57" s="159"/>
      <c r="S57" s="159"/>
      <c r="T57" s="159"/>
      <c r="U57" s="162"/>
      <c r="V57" s="89"/>
      <c r="W57" s="89"/>
      <c r="X57" s="89"/>
      <c r="Y57" s="89"/>
      <c r="Z57" s="89"/>
      <c r="AA57" s="89"/>
    </row>
    <row r="58" spans="2:27" ht="20" customHeight="1" x14ac:dyDescent="0.35">
      <c r="B58" s="93"/>
      <c r="C58" s="89"/>
      <c r="D58" s="89"/>
      <c r="E58" s="89"/>
      <c r="F58" s="90"/>
      <c r="G58" s="93"/>
      <c r="H58" s="89"/>
      <c r="I58" s="89"/>
      <c r="J58" s="89"/>
      <c r="K58" s="89"/>
      <c r="L58" s="89"/>
      <c r="M58" s="104"/>
      <c r="N58" s="89"/>
      <c r="O58" s="296"/>
      <c r="P58" s="89"/>
      <c r="Q58" s="89"/>
      <c r="R58" s="89"/>
      <c r="S58" s="89"/>
      <c r="T58" s="89"/>
      <c r="U58" s="89"/>
      <c r="V58" s="89"/>
      <c r="W58" s="89"/>
      <c r="X58" s="319" t="s">
        <v>81</v>
      </c>
      <c r="Y58" s="319"/>
      <c r="Z58" s="319"/>
      <c r="AA58" s="95"/>
    </row>
    <row r="59" spans="2:27" ht="20" customHeight="1" x14ac:dyDescent="0.35">
      <c r="B59" s="131" t="s">
        <v>136</v>
      </c>
      <c r="C59" s="89"/>
      <c r="D59" s="89"/>
      <c r="E59" s="89"/>
      <c r="F59" s="90"/>
      <c r="G59" s="93"/>
      <c r="H59" s="89"/>
      <c r="I59" s="89"/>
      <c r="J59" s="89"/>
      <c r="K59" s="89"/>
      <c r="L59" s="89"/>
      <c r="M59" s="104"/>
      <c r="N59" s="89"/>
      <c r="O59" s="296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95"/>
    </row>
    <row r="60" spans="2:27" ht="20" customHeight="1" x14ac:dyDescent="0.35">
      <c r="B60" s="131" t="s">
        <v>137</v>
      </c>
      <c r="C60" s="132" t="s">
        <v>138</v>
      </c>
      <c r="D60" s="89"/>
      <c r="E60" s="89"/>
      <c r="F60" s="90"/>
      <c r="G60" s="93"/>
      <c r="H60" s="89"/>
      <c r="I60" s="89"/>
      <c r="J60" s="89"/>
      <c r="K60" s="89"/>
      <c r="L60" s="89"/>
      <c r="M60" s="104"/>
      <c r="N60" s="89"/>
      <c r="O60" s="296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95"/>
    </row>
    <row r="61" spans="2:27" ht="20" customHeight="1" x14ac:dyDescent="0.35">
      <c r="B61" s="93"/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104"/>
      <c r="N61" s="89"/>
      <c r="O61" s="296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5"/>
    </row>
    <row r="62" spans="2:27" ht="20" customHeight="1" x14ac:dyDescent="0.35">
      <c r="M62" s="75"/>
    </row>
  </sheetData>
  <sheetProtection algorithmName="SHA-512" hashValue="v6Oyd7SjzQH15/xjPoutFmBprjrFoMiqK1U608ETGeBJnPKrvdfW3ksJpMy5/FjB138o8oIhS9TVVx9MtZKQKA==" saltValue="00gUJShIR9Tnkp+uiTVfSw==" spinCount="100000" sheet="1" selectLockedCells="1"/>
  <dataConsolidate/>
  <mergeCells count="67">
    <mergeCell ref="H31:O31"/>
    <mergeCell ref="H32:O32"/>
    <mergeCell ref="X58:Z58"/>
    <mergeCell ref="H9:I9"/>
    <mergeCell ref="J9:M9"/>
    <mergeCell ref="X39:Z39"/>
    <mergeCell ref="Q36:Y36"/>
    <mergeCell ref="Q31:W31"/>
    <mergeCell ref="P13:P16"/>
    <mergeCell ref="Q13:X13"/>
    <mergeCell ref="Y13:Y16"/>
    <mergeCell ref="Z13:Z16"/>
    <mergeCell ref="H14:H15"/>
    <mergeCell ref="I14:M14"/>
    <mergeCell ref="N14:N15"/>
    <mergeCell ref="X15:X16"/>
    <mergeCell ref="D29:E29"/>
    <mergeCell ref="D30:E30"/>
    <mergeCell ref="D31:E31"/>
    <mergeCell ref="D32:E32"/>
    <mergeCell ref="D27:E27"/>
    <mergeCell ref="D25:E25"/>
    <mergeCell ref="D26:E26"/>
    <mergeCell ref="B41:G41"/>
    <mergeCell ref="B42:G57"/>
    <mergeCell ref="X44:Z44"/>
    <mergeCell ref="X45:Z45"/>
    <mergeCell ref="X48:Z48"/>
    <mergeCell ref="X49:Z49"/>
    <mergeCell ref="X50:Z50"/>
    <mergeCell ref="X53:Z53"/>
    <mergeCell ref="X54:Z54"/>
    <mergeCell ref="X55:Z55"/>
    <mergeCell ref="Q32:W32"/>
    <mergeCell ref="D33:E33"/>
    <mergeCell ref="Q34:Y34"/>
    <mergeCell ref="D28:E28"/>
    <mergeCell ref="O14:O15"/>
    <mergeCell ref="G13:G16"/>
    <mergeCell ref="D22:E22"/>
    <mergeCell ref="D23:E23"/>
    <mergeCell ref="D24:E24"/>
    <mergeCell ref="H13:O13"/>
    <mergeCell ref="H18:O18"/>
    <mergeCell ref="D17:E17"/>
    <mergeCell ref="D18:E18"/>
    <mergeCell ref="D19:E19"/>
    <mergeCell ref="D20:E20"/>
    <mergeCell ref="D21:E21"/>
    <mergeCell ref="B11:C11"/>
    <mergeCell ref="B13:B16"/>
    <mergeCell ref="C13:C16"/>
    <mergeCell ref="D13:E16"/>
    <mergeCell ref="F13:F16"/>
    <mergeCell ref="B7:C7"/>
    <mergeCell ref="B4:C4"/>
    <mergeCell ref="E4:Z4"/>
    <mergeCell ref="B5:C5"/>
    <mergeCell ref="B6:C6"/>
    <mergeCell ref="E6:Z6"/>
    <mergeCell ref="B8:C8"/>
    <mergeCell ref="E8:Z8"/>
    <mergeCell ref="B9:C9"/>
    <mergeCell ref="E9:G9"/>
    <mergeCell ref="B10:C10"/>
    <mergeCell ref="E10:G10"/>
    <mergeCell ref="H10:Z10"/>
  </mergeCells>
  <conditionalFormatting sqref="P34">
    <cfRule type="containsText" dxfId="15" priority="25" operator="containsText" text="Cek Kerusakan Komponen Lain">
      <formula>NOT(ISERROR(SEARCH("Cek Kerusakan Komponen Lain",P34)))</formula>
    </cfRule>
    <cfRule type="containsText" dxfId="14" priority="29" operator="containsText" text="Rusak Berat">
      <formula>NOT(ISERROR(SEARCH("Rusak Berat",P34)))</formula>
    </cfRule>
  </conditionalFormatting>
  <conditionalFormatting sqref="X18:X33">
    <cfRule type="containsBlanks" dxfId="13" priority="1">
      <formula>LEN(TRIM(X18))=0</formula>
    </cfRule>
    <cfRule type="cellIs" dxfId="12" priority="2" operator="greaterThan">
      <formula>1</formula>
    </cfRule>
  </conditionalFormatting>
  <conditionalFormatting sqref="Z36">
    <cfRule type="containsText" dxfId="11" priority="21" operator="containsText" text="Hitung Kerusakan">
      <formula>NOT(ISERROR(SEARCH("Hitung Kerusakan",Z36)))</formula>
    </cfRule>
    <cfRule type="containsText" dxfId="10" priority="26" operator="containsText" text="Rusak Ringan">
      <formula>NOT(ISERROR(SEARCH("Rusak Ringan",Z36)))</formula>
    </cfRule>
    <cfRule type="containsText" dxfId="9" priority="27" operator="containsText" text="Rusak Sedang">
      <formula>NOT(ISERROR(SEARCH("Rusak Sedang",Z36)))</formula>
    </cfRule>
    <cfRule type="containsText" dxfId="8" priority="28" operator="containsText" text="Rusak Berat">
      <formula>NOT(ISERROR(SEARCH("Rusak Berat",Z36)))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3" fitToHeight="0" orientation="landscape" r:id="rId1"/>
  <rowBreaks count="1" manualBreakCount="1">
    <brk id="37" min="1" max="25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D76390A-3FDF-47C3-B5A1-E6E3B83C0FEE}">
          <x14:formula1>
            <xm:f>Sheet5!$B$21:$B$27</xm:f>
          </x14:formula1>
          <xm:sqref>H32</xm:sqref>
        </x14:dataValidation>
        <x14:dataValidation type="list" allowBlank="1" showInputMessage="1" showErrorMessage="1" xr:uid="{04FD502C-0832-40A4-977E-A6620B436B9A}">
          <x14:formula1>
            <xm:f>Sheet5!$B$3:$B$9</xm:f>
          </x14:formula1>
          <xm:sqref>H31</xm:sqref>
        </x14:dataValidation>
        <x14:dataValidation type="list" allowBlank="1" showInputMessage="1" showErrorMessage="1" xr:uid="{84E54361-D779-45A0-9807-958673027F4C}">
          <x14:formula1>
            <xm:f>Sheet5!$B$12:$B$18</xm:f>
          </x14:formula1>
          <xm:sqref>AB18 H18</xm:sqref>
        </x14:dataValidation>
        <x14:dataValidation type="list" allowBlank="1" showInputMessage="1" showErrorMessage="1" xr:uid="{94B6D9BE-A036-4314-980E-8B84F7E6E687}">
          <x14:formula1>
            <xm:f>Sheet1!$C$4:$C$6</xm:f>
          </x14:formula1>
          <xm:sqref>AB18:AB22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4E02-4176-42DE-B4E5-147375F91E79}">
  <dimension ref="A1"/>
  <sheetViews>
    <sheetView topLeftCell="A10" workbookViewId="0"/>
  </sheetViews>
  <sheetFormatPr defaultRowHeight="12.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3B90-48AD-4544-9236-E14FAD0059BD}">
  <dimension ref="A2:G11"/>
  <sheetViews>
    <sheetView workbookViewId="0">
      <selection activeCell="G6" sqref="G6"/>
    </sheetView>
  </sheetViews>
  <sheetFormatPr defaultRowHeight="12.5" x14ac:dyDescent="0.25"/>
  <cols>
    <col min="1" max="1" width="3.08984375" customWidth="1"/>
    <col min="2" max="2" width="4.453125" customWidth="1"/>
  </cols>
  <sheetData>
    <row r="2" spans="1:7" ht="13.25" x14ac:dyDescent="0.25">
      <c r="A2" t="s">
        <v>164</v>
      </c>
    </row>
    <row r="3" spans="1:7" ht="13.25" x14ac:dyDescent="0.25">
      <c r="B3" t="s">
        <v>165</v>
      </c>
    </row>
    <row r="4" spans="1:7" ht="13.25" x14ac:dyDescent="0.25">
      <c r="C4" t="s">
        <v>90</v>
      </c>
    </row>
    <row r="5" spans="1:7" ht="13" x14ac:dyDescent="0.3">
      <c r="C5" t="s">
        <v>225</v>
      </c>
      <c r="G5" s="170" t="s">
        <v>167</v>
      </c>
    </row>
    <row r="6" spans="1:7" ht="13" x14ac:dyDescent="0.3">
      <c r="C6" t="s">
        <v>226</v>
      </c>
      <c r="G6" s="170" t="s">
        <v>168</v>
      </c>
    </row>
    <row r="8" spans="1:7" ht="13.25" x14ac:dyDescent="0.25">
      <c r="B8" t="s">
        <v>166</v>
      </c>
    </row>
    <row r="9" spans="1:7" ht="13.25" x14ac:dyDescent="0.25">
      <c r="C9" t="s">
        <v>90</v>
      </c>
    </row>
    <row r="10" spans="1:7" ht="13" x14ac:dyDescent="0.3">
      <c r="C10" s="170" t="s">
        <v>169</v>
      </c>
    </row>
    <row r="11" spans="1:7" ht="13" x14ac:dyDescent="0.3">
      <c r="C11" s="170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7"/>
  <sheetViews>
    <sheetView zoomScale="85" zoomScaleNormal="85" workbookViewId="0">
      <selection activeCell="B25" sqref="B25"/>
    </sheetView>
  </sheetViews>
  <sheetFormatPr defaultColWidth="9" defaultRowHeight="12.5" x14ac:dyDescent="0.25"/>
  <cols>
    <col min="2" max="2" width="169.453125" customWidth="1"/>
  </cols>
  <sheetData>
    <row r="2" spans="1:18" x14ac:dyDescent="0.25">
      <c r="B2" s="106" t="s">
        <v>93</v>
      </c>
    </row>
    <row r="3" spans="1:18" x14ac:dyDescent="0.25">
      <c r="A3">
        <v>1</v>
      </c>
      <c r="B3" t="s">
        <v>204</v>
      </c>
      <c r="C3">
        <v>0</v>
      </c>
    </row>
    <row r="4" spans="1:18" x14ac:dyDescent="0.25">
      <c r="A4">
        <v>2</v>
      </c>
      <c r="B4" t="s">
        <v>205</v>
      </c>
      <c r="C4">
        <v>0.2</v>
      </c>
    </row>
    <row r="5" spans="1:18" x14ac:dyDescent="0.25">
      <c r="A5">
        <v>3</v>
      </c>
      <c r="B5" t="s">
        <v>206</v>
      </c>
      <c r="C5">
        <v>0.35</v>
      </c>
    </row>
    <row r="6" spans="1:18" x14ac:dyDescent="0.25">
      <c r="A6">
        <v>4</v>
      </c>
      <c r="B6" t="s">
        <v>207</v>
      </c>
      <c r="C6">
        <v>0.5</v>
      </c>
    </row>
    <row r="7" spans="1:18" x14ac:dyDescent="0.25">
      <c r="A7">
        <v>5</v>
      </c>
      <c r="B7" t="s">
        <v>208</v>
      </c>
      <c r="C7">
        <v>0.7</v>
      </c>
    </row>
    <row r="8" spans="1:18" x14ac:dyDescent="0.25">
      <c r="A8">
        <v>6</v>
      </c>
      <c r="B8" t="s">
        <v>209</v>
      </c>
      <c r="C8">
        <v>0.85</v>
      </c>
    </row>
    <row r="9" spans="1:18" x14ac:dyDescent="0.25">
      <c r="A9">
        <v>7</v>
      </c>
      <c r="B9" t="s">
        <v>210</v>
      </c>
      <c r="C9">
        <v>1</v>
      </c>
    </row>
    <row r="11" spans="1:18" s="1" customFormat="1" ht="14.5" x14ac:dyDescent="0.35">
      <c r="B11" s="107" t="s">
        <v>197</v>
      </c>
      <c r="C11" s="90"/>
      <c r="D11" s="91"/>
      <c r="E11" s="92"/>
      <c r="F11" s="89"/>
      <c r="G11" s="89"/>
      <c r="H11" s="99"/>
      <c r="I11" s="99"/>
      <c r="J11" s="99"/>
      <c r="K11" s="99"/>
      <c r="L11" s="99"/>
      <c r="M11" s="99"/>
      <c r="N11" s="99"/>
      <c r="O11" s="99"/>
      <c r="P11" s="100"/>
      <c r="Q11" s="89"/>
      <c r="R11" s="89"/>
    </row>
    <row r="12" spans="1:18" s="1" customFormat="1" ht="14.5" x14ac:dyDescent="0.35">
      <c r="A12" s="1">
        <v>1</v>
      </c>
      <c r="B12" s="101" t="s">
        <v>218</v>
      </c>
      <c r="C12">
        <v>0</v>
      </c>
      <c r="D12" s="91"/>
      <c r="E12" s="92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93"/>
      <c r="Q12" s="89"/>
      <c r="R12" s="89"/>
    </row>
    <row r="13" spans="1:18" s="1" customFormat="1" ht="14.5" x14ac:dyDescent="0.35">
      <c r="A13" s="1">
        <v>2</v>
      </c>
      <c r="B13" s="101" t="s">
        <v>219</v>
      </c>
      <c r="C13">
        <v>0.2</v>
      </c>
      <c r="D13" s="91"/>
      <c r="E13" s="92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3"/>
      <c r="Q13" s="89"/>
      <c r="R13" s="89"/>
    </row>
    <row r="14" spans="1:18" s="1" customFormat="1" ht="14.5" x14ac:dyDescent="0.35">
      <c r="A14" s="1">
        <v>3</v>
      </c>
      <c r="B14" s="101" t="s">
        <v>88</v>
      </c>
      <c r="C14">
        <v>0.35</v>
      </c>
      <c r="D14" s="91"/>
      <c r="E14" s="92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93"/>
      <c r="Q14" s="89"/>
      <c r="R14" s="89"/>
    </row>
    <row r="15" spans="1:18" s="1" customFormat="1" ht="14.5" x14ac:dyDescent="0.35">
      <c r="A15" s="1">
        <v>4</v>
      </c>
      <c r="B15" s="101" t="s">
        <v>220</v>
      </c>
      <c r="C15">
        <v>0.5</v>
      </c>
      <c r="D15" s="91"/>
      <c r="E15" s="92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3"/>
      <c r="Q15" s="89"/>
      <c r="R15" s="89"/>
    </row>
    <row r="16" spans="1:18" s="1" customFormat="1" ht="14.5" x14ac:dyDescent="0.35">
      <c r="A16" s="1">
        <v>5</v>
      </c>
      <c r="B16" s="102" t="s">
        <v>89</v>
      </c>
      <c r="C16">
        <v>0.7</v>
      </c>
      <c r="D16" s="91"/>
      <c r="E16" s="92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3"/>
      <c r="Q16" s="89"/>
      <c r="R16" s="89"/>
    </row>
    <row r="17" spans="1:18" s="1" customFormat="1" ht="14.5" x14ac:dyDescent="0.35">
      <c r="A17" s="1">
        <v>6</v>
      </c>
      <c r="B17" s="102" t="s">
        <v>87</v>
      </c>
      <c r="C17">
        <v>0.85</v>
      </c>
      <c r="D17" s="91"/>
      <c r="E17" s="92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93"/>
      <c r="Q17" s="89"/>
      <c r="R17" s="89"/>
    </row>
    <row r="18" spans="1:18" s="1" customFormat="1" ht="14.5" x14ac:dyDescent="0.35">
      <c r="A18" s="1">
        <v>7</v>
      </c>
      <c r="B18" s="132" t="s">
        <v>221</v>
      </c>
      <c r="C18">
        <v>1</v>
      </c>
      <c r="D18" s="91"/>
      <c r="E18" s="92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93"/>
      <c r="Q18" s="89"/>
      <c r="R18" s="89"/>
    </row>
    <row r="19" spans="1:18" s="1" customFormat="1" ht="14.5" x14ac:dyDescent="0.35">
      <c r="B19" s="132"/>
      <c r="C19" s="224"/>
      <c r="D19" s="91"/>
      <c r="E19" s="92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3"/>
      <c r="Q19" s="89"/>
      <c r="R19" s="89"/>
    </row>
    <row r="20" spans="1:18" s="1" customFormat="1" ht="14.5" x14ac:dyDescent="0.35">
      <c r="B20" s="107" t="s">
        <v>95</v>
      </c>
      <c r="C20" s="90"/>
      <c r="D20" s="91"/>
      <c r="E20" s="92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93"/>
      <c r="Q20" s="89"/>
      <c r="R20" s="89"/>
    </row>
    <row r="21" spans="1:18" x14ac:dyDescent="0.25">
      <c r="A21">
        <v>1</v>
      </c>
      <c r="B21" t="s">
        <v>211</v>
      </c>
      <c r="C21">
        <v>0</v>
      </c>
    </row>
    <row r="22" spans="1:18" x14ac:dyDescent="0.25">
      <c r="A22">
        <v>2</v>
      </c>
      <c r="B22" t="s">
        <v>212</v>
      </c>
      <c r="C22">
        <v>0.2</v>
      </c>
    </row>
    <row r="23" spans="1:18" x14ac:dyDescent="0.25">
      <c r="A23">
        <v>3</v>
      </c>
      <c r="B23" t="s">
        <v>213</v>
      </c>
      <c r="C23">
        <v>0.35</v>
      </c>
    </row>
    <row r="24" spans="1:18" x14ac:dyDescent="0.25">
      <c r="A24">
        <v>4</v>
      </c>
      <c r="B24" t="s">
        <v>214</v>
      </c>
      <c r="C24">
        <v>0.5</v>
      </c>
    </row>
    <row r="25" spans="1:18" x14ac:dyDescent="0.25">
      <c r="A25">
        <v>5</v>
      </c>
      <c r="B25" t="s">
        <v>215</v>
      </c>
      <c r="C25">
        <v>0.7</v>
      </c>
    </row>
    <row r="26" spans="1:18" x14ac:dyDescent="0.25">
      <c r="A26">
        <v>6</v>
      </c>
      <c r="B26" t="s">
        <v>216</v>
      </c>
      <c r="C26">
        <v>0.85</v>
      </c>
    </row>
    <row r="27" spans="1:18" x14ac:dyDescent="0.25">
      <c r="A27">
        <v>7</v>
      </c>
      <c r="B27" t="s">
        <v>217</v>
      </c>
      <c r="C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B660-3E7B-4699-99B2-E97D5B43661D}">
  <dimension ref="D6:F12"/>
  <sheetViews>
    <sheetView workbookViewId="0">
      <selection activeCell="H9" sqref="H9"/>
    </sheetView>
  </sheetViews>
  <sheetFormatPr defaultRowHeight="12.5" x14ac:dyDescent="0.25"/>
  <sheetData>
    <row r="6" spans="4:6" x14ac:dyDescent="0.25">
      <c r="D6">
        <v>1</v>
      </c>
      <c r="E6" s="184">
        <v>0</v>
      </c>
    </row>
    <row r="7" spans="4:6" x14ac:dyDescent="0.25">
      <c r="D7">
        <v>2</v>
      </c>
      <c r="E7" s="184">
        <f>E6+0.167</f>
        <v>0.16700000000000001</v>
      </c>
      <c r="F7">
        <f>1/6</f>
        <v>0.16666666666666666</v>
      </c>
    </row>
    <row r="8" spans="4:6" x14ac:dyDescent="0.25">
      <c r="D8">
        <v>3</v>
      </c>
      <c r="E8" s="184">
        <f t="shared" ref="E8:E12" si="0">E7+0.167</f>
        <v>0.33400000000000002</v>
      </c>
    </row>
    <row r="9" spans="4:6" x14ac:dyDescent="0.25">
      <c r="D9">
        <v>4</v>
      </c>
      <c r="E9" s="184">
        <f t="shared" si="0"/>
        <v>0.501</v>
      </c>
    </row>
    <row r="10" spans="4:6" x14ac:dyDescent="0.25">
      <c r="D10">
        <v>5</v>
      </c>
      <c r="E10" s="184">
        <f t="shared" si="0"/>
        <v>0.66800000000000004</v>
      </c>
    </row>
    <row r="11" spans="4:6" x14ac:dyDescent="0.25">
      <c r="D11">
        <v>6</v>
      </c>
      <c r="E11" s="184">
        <f t="shared" si="0"/>
        <v>0.83500000000000008</v>
      </c>
    </row>
    <row r="12" spans="4:6" x14ac:dyDescent="0.25">
      <c r="D12">
        <v>7</v>
      </c>
      <c r="E12" s="184">
        <f t="shared" si="0"/>
        <v>1.002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0"/>
  <sheetViews>
    <sheetView topLeftCell="A10" zoomScaleNormal="100" workbookViewId="0">
      <selection activeCell="E20" sqref="E20"/>
    </sheetView>
  </sheetViews>
  <sheetFormatPr defaultColWidth="9" defaultRowHeight="12.5" x14ac:dyDescent="0.25"/>
  <cols>
    <col min="2" max="2" width="3.54296875" bestFit="1" customWidth="1"/>
    <col min="3" max="3" width="17" customWidth="1"/>
    <col min="4" max="4" width="19.453125" customWidth="1"/>
    <col min="5" max="5" width="42.90625" customWidth="1"/>
    <col min="6" max="6" width="10" customWidth="1"/>
    <col min="7" max="7" width="35.54296875" style="120" customWidth="1"/>
  </cols>
  <sheetData>
    <row r="3" spans="2:7" x14ac:dyDescent="0.25">
      <c r="B3" s="110" t="s">
        <v>102</v>
      </c>
      <c r="C3" s="110" t="s">
        <v>103</v>
      </c>
      <c r="D3" s="110" t="s">
        <v>104</v>
      </c>
      <c r="E3" s="110" t="s">
        <v>105</v>
      </c>
      <c r="F3" s="110"/>
      <c r="G3" s="110" t="s">
        <v>106</v>
      </c>
    </row>
    <row r="4" spans="2:7" x14ac:dyDescent="0.25">
      <c r="B4" s="111" t="s">
        <v>38</v>
      </c>
      <c r="C4" s="111" t="s">
        <v>39</v>
      </c>
      <c r="D4" s="111" t="s">
        <v>40</v>
      </c>
      <c r="E4" s="111" t="s">
        <v>41</v>
      </c>
      <c r="F4" s="111"/>
      <c r="G4" s="111" t="s">
        <v>42</v>
      </c>
    </row>
    <row r="5" spans="2:7" ht="126.75" customHeight="1" x14ac:dyDescent="0.25">
      <c r="B5" s="111">
        <v>1</v>
      </c>
      <c r="C5" s="111" t="s">
        <v>52</v>
      </c>
      <c r="D5" s="112" t="s">
        <v>108</v>
      </c>
      <c r="E5" s="112" t="s">
        <v>109</v>
      </c>
      <c r="F5" s="112"/>
      <c r="G5" s="111"/>
    </row>
    <row r="6" spans="2:7" ht="16.5" customHeight="1" x14ac:dyDescent="0.35">
      <c r="B6" s="400">
        <v>2</v>
      </c>
      <c r="C6" s="400" t="s">
        <v>53</v>
      </c>
      <c r="D6" s="398" t="s">
        <v>107</v>
      </c>
      <c r="E6" s="113" t="s">
        <v>98</v>
      </c>
      <c r="F6" s="113"/>
      <c r="G6" s="399"/>
    </row>
    <row r="7" spans="2:7" x14ac:dyDescent="0.25">
      <c r="B7" s="400"/>
      <c r="C7" s="400"/>
      <c r="D7" s="398"/>
      <c r="E7" s="114" t="s">
        <v>96</v>
      </c>
      <c r="F7" s="114"/>
      <c r="G7" s="399"/>
    </row>
    <row r="8" spans="2:7" x14ac:dyDescent="0.25">
      <c r="B8" s="400"/>
      <c r="C8" s="400"/>
      <c r="D8" s="398"/>
      <c r="E8" s="114" t="s">
        <v>97</v>
      </c>
      <c r="F8" s="114"/>
      <c r="G8" s="399"/>
    </row>
    <row r="9" spans="2:7" ht="25.5" customHeight="1" x14ac:dyDescent="0.25">
      <c r="B9" s="400"/>
      <c r="C9" s="400"/>
      <c r="D9" s="398"/>
      <c r="E9" s="114" t="s">
        <v>99</v>
      </c>
      <c r="F9" s="114"/>
      <c r="G9" s="399"/>
    </row>
    <row r="10" spans="2:7" ht="53.4" customHeight="1" x14ac:dyDescent="0.25">
      <c r="B10" s="400"/>
      <c r="C10" s="400"/>
      <c r="D10" s="398"/>
      <c r="E10" s="115" t="s">
        <v>100</v>
      </c>
      <c r="F10" s="115"/>
      <c r="G10" s="399"/>
    </row>
    <row r="11" spans="2:7" x14ac:dyDescent="0.25">
      <c r="B11" s="400"/>
      <c r="C11" s="400"/>
      <c r="D11" s="398"/>
      <c r="E11" s="114" t="s">
        <v>101</v>
      </c>
      <c r="F11" s="114"/>
      <c r="G11" s="399"/>
    </row>
    <row r="15" spans="2:7" x14ac:dyDescent="0.25">
      <c r="C15" s="122" t="s">
        <v>25</v>
      </c>
      <c r="D15" s="122" t="s">
        <v>110</v>
      </c>
      <c r="E15" s="122" t="s">
        <v>111</v>
      </c>
      <c r="F15" s="122" t="s">
        <v>112</v>
      </c>
      <c r="G15" s="119"/>
    </row>
    <row r="16" spans="2:7" ht="50" x14ac:dyDescent="0.25">
      <c r="D16" s="121">
        <v>1</v>
      </c>
      <c r="E16" s="123" t="s">
        <v>114</v>
      </c>
      <c r="F16" s="121">
        <v>0.2</v>
      </c>
    </row>
    <row r="17" spans="4:6" ht="49.65" customHeight="1" x14ac:dyDescent="0.25">
      <c r="D17" s="121">
        <v>2</v>
      </c>
      <c r="E17" s="123" t="s">
        <v>113</v>
      </c>
      <c r="F17" s="121">
        <v>0.4</v>
      </c>
    </row>
    <row r="18" spans="4:6" ht="62.5" x14ac:dyDescent="0.25">
      <c r="D18" s="121">
        <v>3</v>
      </c>
      <c r="E18" s="123" t="s">
        <v>118</v>
      </c>
      <c r="F18" s="121">
        <v>0.6</v>
      </c>
    </row>
    <row r="19" spans="4:6" ht="50" x14ac:dyDescent="0.25">
      <c r="D19" s="121">
        <v>4</v>
      </c>
      <c r="E19" s="123" t="s">
        <v>115</v>
      </c>
      <c r="F19" s="121">
        <v>0.8</v>
      </c>
    </row>
    <row r="20" spans="4:6" ht="50" x14ac:dyDescent="0.25">
      <c r="D20" s="121">
        <v>5</v>
      </c>
      <c r="E20" s="123" t="s">
        <v>116</v>
      </c>
      <c r="F20" s="121">
        <v>1</v>
      </c>
    </row>
  </sheetData>
  <mergeCells count="4">
    <mergeCell ref="D6:D11"/>
    <mergeCell ref="G6:G11"/>
    <mergeCell ref="C6:C11"/>
    <mergeCell ref="B6:B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N67"/>
  <sheetViews>
    <sheetView view="pageBreakPreview" topLeftCell="B1" zoomScaleSheetLayoutView="100" workbookViewId="0">
      <selection activeCell="B2" sqref="B2"/>
    </sheetView>
  </sheetViews>
  <sheetFormatPr defaultColWidth="9.08984375" defaultRowHeight="14.5" x14ac:dyDescent="0.35"/>
  <cols>
    <col min="1" max="1" width="9.08984375" style="1"/>
    <col min="2" max="2" width="7.54296875" style="1" customWidth="1"/>
    <col min="3" max="3" width="31" style="1" customWidth="1"/>
    <col min="4" max="4" width="2.453125" style="1" customWidth="1"/>
    <col min="5" max="5" width="26" style="1" customWidth="1"/>
    <col min="6" max="6" width="20.54296875" style="1" customWidth="1"/>
    <col min="7" max="7" width="20" style="1" customWidth="1"/>
    <col min="8" max="8" width="20.453125" style="1" customWidth="1"/>
    <col min="9" max="9" width="20.54296875" style="1" customWidth="1"/>
    <col min="10" max="10" width="12.453125" style="1" customWidth="1"/>
    <col min="11" max="16384" width="9.08984375" style="1"/>
  </cols>
  <sheetData>
    <row r="1" spans="2:9" ht="15" thickBot="1" x14ac:dyDescent="0.4"/>
    <row r="2" spans="2:9" ht="19.5" customHeight="1" x14ac:dyDescent="0.35">
      <c r="B2" s="2" t="s">
        <v>0</v>
      </c>
      <c r="C2" s="3"/>
      <c r="D2" s="3"/>
      <c r="E2" s="3"/>
      <c r="F2" s="3"/>
      <c r="G2" s="416" t="s">
        <v>1</v>
      </c>
      <c r="H2" s="4" t="s">
        <v>2</v>
      </c>
      <c r="I2" s="5" t="s">
        <v>3</v>
      </c>
    </row>
    <row r="3" spans="2:9" ht="19.5" customHeight="1" x14ac:dyDescent="0.35">
      <c r="B3" s="6" t="s">
        <v>4</v>
      </c>
      <c r="C3" s="7"/>
      <c r="D3" s="7"/>
      <c r="E3" s="7"/>
      <c r="F3" s="7"/>
      <c r="G3" s="417"/>
      <c r="H3" s="8" t="s">
        <v>5</v>
      </c>
      <c r="I3" s="9" t="s">
        <v>6</v>
      </c>
    </row>
    <row r="4" spans="2:9" ht="19.5" customHeight="1" x14ac:dyDescent="0.35">
      <c r="B4" s="6" t="s">
        <v>7</v>
      </c>
      <c r="C4" s="7"/>
      <c r="D4" s="7"/>
      <c r="E4" s="7"/>
      <c r="F4" s="7"/>
      <c r="G4" s="417"/>
      <c r="H4" s="10" t="s">
        <v>8</v>
      </c>
      <c r="I4" s="11" t="s">
        <v>9</v>
      </c>
    </row>
    <row r="5" spans="2:9" ht="19.5" customHeight="1" thickBot="1" x14ac:dyDescent="0.4">
      <c r="B5" s="12" t="s">
        <v>10</v>
      </c>
      <c r="C5" s="13"/>
      <c r="D5" s="13"/>
      <c r="E5" s="13"/>
      <c r="F5" s="13"/>
      <c r="G5" s="418"/>
      <c r="H5" s="14" t="s">
        <v>11</v>
      </c>
      <c r="I5" s="15" t="s">
        <v>6</v>
      </c>
    </row>
    <row r="6" spans="2:9" ht="18" customHeight="1" x14ac:dyDescent="0.35">
      <c r="B6" s="419" t="s">
        <v>12</v>
      </c>
      <c r="C6" s="420"/>
      <c r="D6" s="16" t="s">
        <v>13</v>
      </c>
      <c r="E6" s="421"/>
      <c r="F6" s="421"/>
      <c r="G6" s="421"/>
      <c r="H6" s="421"/>
      <c r="I6" s="422"/>
    </row>
    <row r="7" spans="2:9" ht="18" customHeight="1" x14ac:dyDescent="0.35">
      <c r="B7" s="423" t="s">
        <v>14</v>
      </c>
      <c r="C7" s="424"/>
      <c r="D7" s="17" t="s">
        <v>13</v>
      </c>
      <c r="E7" s="425"/>
      <c r="F7" s="425"/>
      <c r="G7" s="425"/>
      <c r="H7" s="425"/>
      <c r="I7" s="426"/>
    </row>
    <row r="8" spans="2:9" ht="18" customHeight="1" x14ac:dyDescent="0.35">
      <c r="B8" s="423" t="s">
        <v>15</v>
      </c>
      <c r="C8" s="424"/>
      <c r="D8" s="17" t="s">
        <v>13</v>
      </c>
      <c r="E8" s="427"/>
      <c r="F8" s="427"/>
      <c r="G8" s="427"/>
      <c r="H8" s="427"/>
      <c r="I8" s="428"/>
    </row>
    <row r="9" spans="2:9" ht="18" customHeight="1" x14ac:dyDescent="0.35">
      <c r="B9" s="423" t="s">
        <v>16</v>
      </c>
      <c r="C9" s="424"/>
      <c r="D9" s="17" t="s">
        <v>13</v>
      </c>
      <c r="E9" s="18" t="s">
        <v>17</v>
      </c>
      <c r="F9" s="19" t="s">
        <v>18</v>
      </c>
      <c r="G9" s="429" t="s">
        <v>19</v>
      </c>
      <c r="H9" s="429"/>
      <c r="I9" s="430"/>
    </row>
    <row r="10" spans="2:9" ht="18" customHeight="1" x14ac:dyDescent="0.35">
      <c r="B10" s="423" t="s">
        <v>20</v>
      </c>
      <c r="C10" s="424"/>
      <c r="D10" s="17" t="s">
        <v>13</v>
      </c>
      <c r="E10" s="20"/>
      <c r="F10" s="20" t="s">
        <v>21</v>
      </c>
      <c r="G10" s="20"/>
      <c r="H10" s="21" t="s">
        <v>22</v>
      </c>
      <c r="I10" s="22"/>
    </row>
    <row r="11" spans="2:9" ht="18" customHeight="1" thickBot="1" x14ac:dyDescent="0.4">
      <c r="B11" s="431" t="s">
        <v>23</v>
      </c>
      <c r="C11" s="432"/>
      <c r="D11" s="23" t="s">
        <v>13</v>
      </c>
      <c r="E11" s="433" t="s">
        <v>24</v>
      </c>
      <c r="F11" s="433"/>
      <c r="G11" s="433"/>
      <c r="H11" s="433"/>
      <c r="I11" s="434"/>
    </row>
    <row r="12" spans="2:9" ht="20" customHeight="1" thickBot="1" x14ac:dyDescent="0.4">
      <c r="B12" s="401" t="s">
        <v>25</v>
      </c>
      <c r="C12" s="404" t="s">
        <v>26</v>
      </c>
      <c r="D12" s="407" t="s">
        <v>27</v>
      </c>
      <c r="E12" s="408"/>
      <c r="F12" s="413" t="s">
        <v>28</v>
      </c>
      <c r="G12" s="414"/>
      <c r="H12" s="414"/>
      <c r="I12" s="415"/>
    </row>
    <row r="13" spans="2:9" ht="16.5" customHeight="1" thickTop="1" x14ac:dyDescent="0.35">
      <c r="B13" s="402"/>
      <c r="C13" s="405"/>
      <c r="D13" s="409"/>
      <c r="E13" s="410"/>
      <c r="F13" s="24" t="s">
        <v>29</v>
      </c>
      <c r="G13" s="24" t="s">
        <v>30</v>
      </c>
      <c r="H13" s="24" t="s">
        <v>31</v>
      </c>
      <c r="I13" s="25" t="s">
        <v>32</v>
      </c>
    </row>
    <row r="14" spans="2:9" ht="16.5" customHeight="1" x14ac:dyDescent="0.35">
      <c r="B14" s="402"/>
      <c r="C14" s="405"/>
      <c r="D14" s="409"/>
      <c r="E14" s="410"/>
      <c r="F14" s="26" t="s">
        <v>33</v>
      </c>
      <c r="G14" s="26" t="s">
        <v>34</v>
      </c>
      <c r="H14" s="26" t="s">
        <v>35</v>
      </c>
      <c r="I14" s="27" t="s">
        <v>36</v>
      </c>
    </row>
    <row r="15" spans="2:9" ht="16.5" customHeight="1" x14ac:dyDescent="0.35">
      <c r="B15" s="403"/>
      <c r="C15" s="406"/>
      <c r="D15" s="411"/>
      <c r="E15" s="412"/>
      <c r="F15" s="28" t="s">
        <v>37</v>
      </c>
      <c r="G15" s="28" t="s">
        <v>37</v>
      </c>
      <c r="H15" s="28" t="s">
        <v>37</v>
      </c>
      <c r="I15" s="29" t="s">
        <v>37</v>
      </c>
    </row>
    <row r="16" spans="2:9" ht="16.5" customHeight="1" x14ac:dyDescent="0.35">
      <c r="B16" s="30" t="s">
        <v>38</v>
      </c>
      <c r="C16" s="31" t="s">
        <v>39</v>
      </c>
      <c r="D16" s="445" t="s">
        <v>40</v>
      </c>
      <c r="E16" s="446"/>
      <c r="F16" s="31" t="s">
        <v>41</v>
      </c>
      <c r="G16" s="31" t="s">
        <v>42</v>
      </c>
      <c r="H16" s="31" t="s">
        <v>43</v>
      </c>
      <c r="I16" s="32" t="s">
        <v>44</v>
      </c>
    </row>
    <row r="17" spans="2:14" ht="20" customHeight="1" x14ac:dyDescent="0.35">
      <c r="B17" s="33">
        <v>1</v>
      </c>
      <c r="C17" s="34" t="s">
        <v>45</v>
      </c>
      <c r="D17" s="35" t="s">
        <v>46</v>
      </c>
      <c r="E17" s="34"/>
      <c r="F17" s="36">
        <v>10</v>
      </c>
      <c r="G17" s="37">
        <v>15</v>
      </c>
      <c r="H17" s="38">
        <v>0</v>
      </c>
      <c r="I17" s="39">
        <f>F17*H17/100</f>
        <v>0</v>
      </c>
    </row>
    <row r="18" spans="2:14" ht="20" customHeight="1" x14ac:dyDescent="0.35">
      <c r="B18" s="40">
        <v>2</v>
      </c>
      <c r="C18" s="41" t="s">
        <v>47</v>
      </c>
      <c r="D18" s="35" t="s">
        <v>48</v>
      </c>
      <c r="E18" s="42"/>
      <c r="F18" s="43">
        <v>29</v>
      </c>
      <c r="G18" s="37">
        <v>30</v>
      </c>
      <c r="H18" s="38">
        <v>0</v>
      </c>
      <c r="I18" s="39">
        <f t="shared" ref="I18:I36" si="0">F18*H18/100</f>
        <v>0</v>
      </c>
    </row>
    <row r="19" spans="2:14" ht="20" customHeight="1" x14ac:dyDescent="0.35">
      <c r="B19" s="40"/>
      <c r="C19" s="41"/>
      <c r="D19" s="35"/>
      <c r="E19" s="42"/>
      <c r="F19" s="43"/>
      <c r="G19" s="37" t="s">
        <v>49</v>
      </c>
      <c r="H19" s="38" t="s">
        <v>50</v>
      </c>
      <c r="I19" s="39"/>
    </row>
    <row r="20" spans="2:14" ht="20" customHeight="1" x14ac:dyDescent="0.35">
      <c r="B20" s="44">
        <v>3</v>
      </c>
      <c r="C20" s="45" t="s">
        <v>51</v>
      </c>
      <c r="D20" s="46" t="s">
        <v>52</v>
      </c>
      <c r="E20" s="47"/>
      <c r="F20" s="48">
        <v>8</v>
      </c>
      <c r="G20" s="37">
        <v>30</v>
      </c>
      <c r="H20" s="38">
        <v>0</v>
      </c>
      <c r="I20" s="39">
        <f t="shared" si="0"/>
        <v>0</v>
      </c>
    </row>
    <row r="21" spans="2:14" ht="20" customHeight="1" x14ac:dyDescent="0.35">
      <c r="B21" s="49"/>
      <c r="C21" s="50"/>
      <c r="D21" s="46" t="s">
        <v>53</v>
      </c>
      <c r="E21" s="47"/>
      <c r="F21" s="48">
        <v>2</v>
      </c>
      <c r="G21" s="37">
        <v>100</v>
      </c>
      <c r="H21" s="38">
        <v>0</v>
      </c>
      <c r="I21" s="39">
        <f t="shared" si="0"/>
        <v>0</v>
      </c>
    </row>
    <row r="22" spans="2:14" ht="20" customHeight="1" x14ac:dyDescent="0.35">
      <c r="B22" s="44">
        <v>4</v>
      </c>
      <c r="C22" s="45" t="s">
        <v>54</v>
      </c>
      <c r="D22" s="46" t="s">
        <v>55</v>
      </c>
      <c r="E22" s="47"/>
      <c r="F22" s="48">
        <v>3.5</v>
      </c>
      <c r="G22" s="37">
        <v>100</v>
      </c>
      <c r="H22" s="38">
        <v>10</v>
      </c>
      <c r="I22" s="39">
        <f t="shared" si="0"/>
        <v>0.35</v>
      </c>
    </row>
    <row r="23" spans="2:14" ht="20" customHeight="1" x14ac:dyDescent="0.35">
      <c r="B23" s="49"/>
      <c r="C23" s="50"/>
      <c r="D23" s="46" t="s">
        <v>56</v>
      </c>
      <c r="E23" s="47"/>
      <c r="F23" s="48">
        <v>4.5</v>
      </c>
      <c r="G23" s="37">
        <v>100</v>
      </c>
      <c r="H23" s="38">
        <v>10</v>
      </c>
      <c r="I23" s="39">
        <f t="shared" si="0"/>
        <v>0.45</v>
      </c>
    </row>
    <row r="24" spans="2:14" ht="20" customHeight="1" x14ac:dyDescent="0.35">
      <c r="B24" s="44">
        <v>5</v>
      </c>
      <c r="C24" s="45" t="s">
        <v>57</v>
      </c>
      <c r="D24" s="46" t="s">
        <v>58</v>
      </c>
      <c r="E24" s="47"/>
      <c r="F24" s="48">
        <v>4.5</v>
      </c>
      <c r="G24" s="37">
        <v>100</v>
      </c>
      <c r="H24" s="38">
        <v>10</v>
      </c>
      <c r="I24" s="39">
        <f t="shared" si="0"/>
        <v>0.45</v>
      </c>
    </row>
    <row r="25" spans="2:14" ht="20" customHeight="1" x14ac:dyDescent="0.35">
      <c r="B25" s="51">
        <f>IF(C25="Tidak Rusak",0,IF(C25="Rusak Ringan",1,IF(C25="Rusak Sedang",2,IF(C25="Rusak Berat",3,"False"))))</f>
        <v>1</v>
      </c>
      <c r="C25" s="52" t="str">
        <f>IF(I37&lt;=30,"Rusak Ringan",IF(I37&gt;45,"Rusak Berat","Rusak Sedang"))</f>
        <v>Rusak Ringan</v>
      </c>
      <c r="D25" s="46" t="s">
        <v>59</v>
      </c>
      <c r="E25" s="47"/>
      <c r="F25" s="48">
        <v>1.75</v>
      </c>
      <c r="G25" s="37">
        <v>100</v>
      </c>
      <c r="H25" s="38">
        <v>10</v>
      </c>
      <c r="I25" s="39">
        <f t="shared" si="0"/>
        <v>0.17499999999999999</v>
      </c>
    </row>
    <row r="26" spans="2:14" ht="20" customHeight="1" x14ac:dyDescent="0.35">
      <c r="B26" s="51">
        <f>IF(C26="Tidak Rusak",0,IF(C26="Rusak Sedang",1,IF(C26="Rusak Berat",4,"False")))</f>
        <v>0</v>
      </c>
      <c r="C26" s="52" t="str">
        <f>IF(H17=0,"Tidak Rusak",IF(H17&lt;=15,"Rusak Sedang",IF(H17&gt;15,"Rusak Berat","False")))</f>
        <v>Tidak Rusak</v>
      </c>
      <c r="D26" s="46" t="s">
        <v>60</v>
      </c>
      <c r="E26" s="47"/>
      <c r="F26" s="48">
        <v>1.25</v>
      </c>
      <c r="G26" s="37">
        <v>100</v>
      </c>
      <c r="H26" s="38">
        <v>10</v>
      </c>
      <c r="I26" s="39">
        <f t="shared" si="0"/>
        <v>0.125</v>
      </c>
    </row>
    <row r="27" spans="2:14" ht="20" customHeight="1" x14ac:dyDescent="0.35">
      <c r="B27" s="51">
        <f>IF(C27="Tidak Rusak",0,IF(C27="Rusak Sedang",1,IF(C27="Rusak Berat",4,"False")))</f>
        <v>0</v>
      </c>
      <c r="C27" s="52" t="str">
        <f>IF(H18=0,"Tidak Rusak",IF(H18&lt;=30,"Rusak Sedang",IF(H18&gt;30,"Rusak Berat","False")))</f>
        <v>Tidak Rusak</v>
      </c>
      <c r="D27" s="46" t="s">
        <v>61</v>
      </c>
      <c r="E27" s="47"/>
      <c r="F27" s="48">
        <v>1</v>
      </c>
      <c r="G27" s="37">
        <v>100</v>
      </c>
      <c r="H27" s="38">
        <v>10</v>
      </c>
      <c r="I27" s="39">
        <f t="shared" si="0"/>
        <v>0.1</v>
      </c>
    </row>
    <row r="28" spans="2:14" ht="20" customHeight="1" x14ac:dyDescent="0.35">
      <c r="B28" s="53">
        <f>IF(C28="Tidak Rusak",0,IF(C28="Rusak Sedang",1,IF(C28="Rusak Berat",4,"False")))</f>
        <v>0</v>
      </c>
      <c r="C28" s="54" t="str">
        <f>IF(H20=0,"Tidak Rusak",IF(H20&lt;=30,"Rusak Sedang",IF(H20&gt;30,"Rusak Berat","False")))</f>
        <v>Tidak Rusak</v>
      </c>
      <c r="D28" s="46" t="s">
        <v>62</v>
      </c>
      <c r="E28" s="47"/>
      <c r="F28" s="48">
        <v>1.5</v>
      </c>
      <c r="G28" s="37">
        <v>100</v>
      </c>
      <c r="H28" s="38">
        <v>10</v>
      </c>
      <c r="I28" s="39">
        <f t="shared" si="0"/>
        <v>0.15</v>
      </c>
    </row>
    <row r="29" spans="2:14" ht="20" customHeight="1" x14ac:dyDescent="0.35">
      <c r="B29" s="55">
        <v>6</v>
      </c>
      <c r="C29" s="47" t="s">
        <v>63</v>
      </c>
      <c r="D29" s="46" t="s">
        <v>64</v>
      </c>
      <c r="E29" s="47"/>
      <c r="F29" s="48">
        <v>10</v>
      </c>
      <c r="G29" s="37">
        <v>100</v>
      </c>
      <c r="H29" s="38">
        <v>10</v>
      </c>
      <c r="I29" s="39">
        <f t="shared" si="0"/>
        <v>1</v>
      </c>
      <c r="N29" s="1" t="s">
        <v>65</v>
      </c>
    </row>
    <row r="30" spans="2:14" ht="20" customHeight="1" x14ac:dyDescent="0.35">
      <c r="B30" s="44">
        <v>7</v>
      </c>
      <c r="C30" s="45" t="s">
        <v>66</v>
      </c>
      <c r="D30" s="46" t="s">
        <v>67</v>
      </c>
      <c r="E30" s="47"/>
      <c r="F30" s="48">
        <v>5</v>
      </c>
      <c r="G30" s="37">
        <v>100</v>
      </c>
      <c r="H30" s="38">
        <v>10</v>
      </c>
      <c r="I30" s="39">
        <f t="shared" si="0"/>
        <v>0.5</v>
      </c>
    </row>
    <row r="31" spans="2:14" ht="20" customHeight="1" x14ac:dyDescent="0.35">
      <c r="B31" s="51">
        <f>B26+B27+B28</f>
        <v>0</v>
      </c>
      <c r="C31" s="56" t="str">
        <f>IF(B31=0,"Tidak Rusak",IF(B31&lt;=3,"Rusak Sedang",IF(B31&gt;=4,"Rusak Berat","False")))</f>
        <v>Tidak Rusak</v>
      </c>
      <c r="D31" s="46" t="s">
        <v>68</v>
      </c>
      <c r="E31" s="47"/>
      <c r="F31" s="48">
        <v>1.5</v>
      </c>
      <c r="G31" s="37">
        <v>100</v>
      </c>
      <c r="H31" s="38">
        <v>10</v>
      </c>
      <c r="I31" s="39">
        <f t="shared" si="0"/>
        <v>0.15</v>
      </c>
    </row>
    <row r="32" spans="2:14" ht="20" customHeight="1" x14ac:dyDescent="0.35">
      <c r="B32" s="53">
        <f>IF(C31="Tidak Rusak",0,IF(C31="Rusak Sedang",2,IF(C31="Rusak Berat",3,"False")))</f>
        <v>0</v>
      </c>
      <c r="C32" s="57"/>
      <c r="D32" s="46" t="s">
        <v>69</v>
      </c>
      <c r="E32" s="47"/>
      <c r="F32" s="48">
        <v>1.5</v>
      </c>
      <c r="G32" s="37">
        <v>100</v>
      </c>
      <c r="H32" s="38">
        <v>10</v>
      </c>
      <c r="I32" s="39">
        <f t="shared" si="0"/>
        <v>0.15</v>
      </c>
    </row>
    <row r="33" spans="2:10" ht="20" customHeight="1" x14ac:dyDescent="0.35">
      <c r="B33" s="44">
        <v>8</v>
      </c>
      <c r="C33" s="45" t="s">
        <v>70</v>
      </c>
      <c r="D33" s="46" t="s">
        <v>71</v>
      </c>
      <c r="E33" s="47"/>
      <c r="F33" s="48">
        <v>1</v>
      </c>
      <c r="G33" s="37">
        <v>100</v>
      </c>
      <c r="H33" s="38">
        <v>10</v>
      </c>
      <c r="I33" s="39">
        <f t="shared" si="0"/>
        <v>0.1</v>
      </c>
    </row>
    <row r="34" spans="2:10" ht="20" customHeight="1" x14ac:dyDescent="0.35">
      <c r="B34" s="58"/>
      <c r="C34" s="59"/>
      <c r="D34" s="46" t="s">
        <v>72</v>
      </c>
      <c r="E34" s="47"/>
      <c r="F34" s="48">
        <v>4</v>
      </c>
      <c r="G34" s="37">
        <v>100</v>
      </c>
      <c r="H34" s="38">
        <v>10</v>
      </c>
      <c r="I34" s="39">
        <f t="shared" si="0"/>
        <v>0.4</v>
      </c>
    </row>
    <row r="35" spans="2:10" ht="20" customHeight="1" x14ac:dyDescent="0.35">
      <c r="B35" s="60"/>
      <c r="C35" s="61"/>
      <c r="D35" s="46" t="s">
        <v>73</v>
      </c>
      <c r="E35" s="47"/>
      <c r="F35" s="48">
        <v>6</v>
      </c>
      <c r="G35" s="37">
        <v>100</v>
      </c>
      <c r="H35" s="38">
        <v>10</v>
      </c>
      <c r="I35" s="39">
        <f t="shared" si="0"/>
        <v>0.6</v>
      </c>
    </row>
    <row r="36" spans="2:10" ht="20" customHeight="1" x14ac:dyDescent="0.35">
      <c r="B36" s="62"/>
      <c r="C36" s="63"/>
      <c r="D36" s="46" t="s">
        <v>74</v>
      </c>
      <c r="E36" s="47"/>
      <c r="F36" s="48">
        <v>4</v>
      </c>
      <c r="G36" s="37">
        <v>100</v>
      </c>
      <c r="H36" s="38">
        <v>10</v>
      </c>
      <c r="I36" s="39">
        <f t="shared" si="0"/>
        <v>0.4</v>
      </c>
    </row>
    <row r="37" spans="2:10" ht="20" customHeight="1" x14ac:dyDescent="0.35">
      <c r="B37" s="64"/>
      <c r="C37" s="65"/>
      <c r="D37" s="447" t="s">
        <v>75</v>
      </c>
      <c r="E37" s="448"/>
      <c r="F37" s="66">
        <f>SUM(F17:F36)</f>
        <v>100</v>
      </c>
      <c r="G37" s="66"/>
      <c r="H37" s="67"/>
      <c r="I37" s="68">
        <f>SUM(I17:I36)</f>
        <v>5.0999999999999996</v>
      </c>
    </row>
    <row r="38" spans="2:10" ht="20" customHeight="1" thickBot="1" x14ac:dyDescent="0.4">
      <c r="B38" s="69"/>
      <c r="C38" s="70"/>
      <c r="D38" s="449" t="s">
        <v>76</v>
      </c>
      <c r="E38" s="450"/>
      <c r="F38" s="450"/>
      <c r="G38" s="450"/>
      <c r="H38" s="451"/>
      <c r="I38" s="71" t="str">
        <f>IF(B32&lt;B25,C25,C31)</f>
        <v>Rusak Ringan</v>
      </c>
    </row>
    <row r="39" spans="2:10" ht="21.75" customHeight="1" thickBot="1" x14ac:dyDescent="0.4">
      <c r="B39" s="72" t="s">
        <v>77</v>
      </c>
      <c r="C39" s="73"/>
      <c r="D39" s="73"/>
      <c r="E39" s="73"/>
      <c r="F39" s="73"/>
      <c r="G39" s="73"/>
      <c r="H39" s="73"/>
      <c r="I39" s="73"/>
    </row>
    <row r="40" spans="2:10" ht="20" customHeight="1" x14ac:dyDescent="0.35">
      <c r="B40" s="435" t="s">
        <v>78</v>
      </c>
      <c r="C40" s="436"/>
      <c r="D40" s="436"/>
      <c r="E40" s="436"/>
      <c r="F40" s="436"/>
      <c r="G40" s="437"/>
      <c r="H40" s="73"/>
      <c r="I40" s="73"/>
      <c r="J40" s="74"/>
    </row>
    <row r="41" spans="2:10" ht="20" customHeight="1" x14ac:dyDescent="0.35">
      <c r="B41" s="439"/>
      <c r="C41" s="440"/>
      <c r="D41" s="440"/>
      <c r="E41" s="440"/>
      <c r="F41" s="440"/>
      <c r="G41" s="441"/>
      <c r="H41" s="73"/>
      <c r="I41" s="73"/>
      <c r="J41" s="75"/>
    </row>
    <row r="42" spans="2:10" ht="20" customHeight="1" x14ac:dyDescent="0.35">
      <c r="B42" s="439"/>
      <c r="C42" s="440"/>
      <c r="D42" s="440"/>
      <c r="E42" s="440"/>
      <c r="F42" s="440"/>
      <c r="G42" s="441"/>
      <c r="H42" s="73"/>
      <c r="I42" s="73"/>
      <c r="J42" s="75"/>
    </row>
    <row r="43" spans="2:10" ht="20" customHeight="1" x14ac:dyDescent="0.35">
      <c r="B43" s="439"/>
      <c r="C43" s="440"/>
      <c r="D43" s="440"/>
      <c r="E43" s="440"/>
      <c r="F43" s="440"/>
      <c r="G43" s="441"/>
      <c r="H43" s="73"/>
      <c r="I43" s="73"/>
      <c r="J43" s="75"/>
    </row>
    <row r="44" spans="2:10" ht="20" customHeight="1" x14ac:dyDescent="0.35">
      <c r="B44" s="439"/>
      <c r="C44" s="440"/>
      <c r="D44" s="440"/>
      <c r="E44" s="440"/>
      <c r="F44" s="440"/>
      <c r="G44" s="441"/>
      <c r="H44" s="452" t="s">
        <v>79</v>
      </c>
      <c r="I44" s="452"/>
      <c r="J44" s="75"/>
    </row>
    <row r="45" spans="2:10" ht="20" customHeight="1" x14ac:dyDescent="0.35">
      <c r="B45" s="439"/>
      <c r="C45" s="440"/>
      <c r="D45" s="440"/>
      <c r="E45" s="440"/>
      <c r="F45" s="440"/>
      <c r="G45" s="441"/>
      <c r="H45" s="438" t="s">
        <v>80</v>
      </c>
      <c r="I45" s="438"/>
      <c r="J45" s="75"/>
    </row>
    <row r="46" spans="2:10" ht="20" customHeight="1" x14ac:dyDescent="0.35">
      <c r="B46" s="439"/>
      <c r="C46" s="440"/>
      <c r="D46" s="440"/>
      <c r="E46" s="440"/>
      <c r="F46" s="440"/>
      <c r="G46" s="441"/>
      <c r="H46" s="76"/>
      <c r="I46" s="76"/>
      <c r="J46" s="75"/>
    </row>
    <row r="47" spans="2:10" ht="20" customHeight="1" x14ac:dyDescent="0.35">
      <c r="B47" s="439"/>
      <c r="C47" s="440"/>
      <c r="D47" s="440"/>
      <c r="E47" s="440"/>
      <c r="F47" s="440"/>
      <c r="G47" s="441"/>
      <c r="H47" s="76"/>
      <c r="I47" s="76"/>
      <c r="J47" s="75"/>
    </row>
    <row r="48" spans="2:10" ht="20" customHeight="1" x14ac:dyDescent="0.35">
      <c r="B48" s="439"/>
      <c r="C48" s="440"/>
      <c r="D48" s="440"/>
      <c r="E48" s="440"/>
      <c r="F48" s="440"/>
      <c r="G48" s="441"/>
      <c r="H48" s="76"/>
      <c r="I48" s="76"/>
      <c r="J48" s="75"/>
    </row>
    <row r="49" spans="2:10" ht="20" customHeight="1" x14ac:dyDescent="0.35">
      <c r="B49" s="439"/>
      <c r="C49" s="440"/>
      <c r="D49" s="440"/>
      <c r="E49" s="440"/>
      <c r="F49" s="440"/>
      <c r="G49" s="441"/>
      <c r="H49" s="438" t="s">
        <v>81</v>
      </c>
      <c r="I49" s="438"/>
      <c r="J49" s="75"/>
    </row>
    <row r="50" spans="2:10" ht="20" customHeight="1" x14ac:dyDescent="0.35">
      <c r="B50" s="439"/>
      <c r="C50" s="440"/>
      <c r="D50" s="440"/>
      <c r="E50" s="440"/>
      <c r="F50" s="440"/>
      <c r="G50" s="441"/>
      <c r="H50" s="76"/>
      <c r="I50" s="76"/>
      <c r="J50" s="75"/>
    </row>
    <row r="51" spans="2:10" ht="20" customHeight="1" x14ac:dyDescent="0.35">
      <c r="B51" s="439"/>
      <c r="C51" s="440"/>
      <c r="D51" s="440"/>
      <c r="E51" s="440"/>
      <c r="F51" s="440"/>
      <c r="G51" s="441"/>
      <c r="H51" s="438" t="s">
        <v>82</v>
      </c>
      <c r="I51" s="438"/>
      <c r="J51" s="75"/>
    </row>
    <row r="52" spans="2:10" ht="20" customHeight="1" x14ac:dyDescent="0.35">
      <c r="B52" s="439"/>
      <c r="C52" s="440"/>
      <c r="D52" s="440"/>
      <c r="E52" s="440"/>
      <c r="F52" s="440"/>
      <c r="G52" s="441"/>
      <c r="H52" s="76"/>
      <c r="I52" s="76"/>
      <c r="J52" s="75"/>
    </row>
    <row r="53" spans="2:10" ht="20" customHeight="1" x14ac:dyDescent="0.35">
      <c r="B53" s="439"/>
      <c r="C53" s="440"/>
      <c r="D53" s="440"/>
      <c r="E53" s="440"/>
      <c r="F53" s="440"/>
      <c r="G53" s="441"/>
      <c r="H53" s="76"/>
      <c r="I53" s="76"/>
      <c r="J53" s="75"/>
    </row>
    <row r="54" spans="2:10" ht="20.25" customHeight="1" x14ac:dyDescent="0.35">
      <c r="B54" s="439"/>
      <c r="C54" s="440"/>
      <c r="D54" s="440"/>
      <c r="E54" s="440"/>
      <c r="F54" s="440"/>
      <c r="G54" s="441"/>
      <c r="H54" s="76"/>
      <c r="I54" s="76"/>
      <c r="J54" s="75"/>
    </row>
    <row r="55" spans="2:10" ht="21" customHeight="1" x14ac:dyDescent="0.35">
      <c r="B55" s="439"/>
      <c r="C55" s="440"/>
      <c r="D55" s="440"/>
      <c r="E55" s="440"/>
      <c r="F55" s="440"/>
      <c r="G55" s="441"/>
      <c r="H55" s="438" t="s">
        <v>81</v>
      </c>
      <c r="I55" s="438"/>
      <c r="J55" s="75"/>
    </row>
    <row r="56" spans="2:10" ht="20" customHeight="1" thickBot="1" x14ac:dyDescent="0.4">
      <c r="B56" s="442"/>
      <c r="C56" s="443"/>
      <c r="D56" s="443"/>
      <c r="E56" s="443"/>
      <c r="F56" s="443"/>
      <c r="G56" s="444"/>
      <c r="H56" s="76"/>
      <c r="I56" s="76"/>
      <c r="J56" s="75"/>
    </row>
    <row r="57" spans="2:10" ht="20" customHeight="1" x14ac:dyDescent="0.35">
      <c r="B57" s="435" t="s">
        <v>83</v>
      </c>
      <c r="C57" s="436"/>
      <c r="D57" s="436"/>
      <c r="E57" s="436"/>
      <c r="F57" s="436"/>
      <c r="G57" s="437"/>
      <c r="H57" s="438" t="s">
        <v>84</v>
      </c>
      <c r="I57" s="438"/>
      <c r="J57" s="75"/>
    </row>
    <row r="58" spans="2:10" ht="20" customHeight="1" x14ac:dyDescent="0.35">
      <c r="B58" s="439"/>
      <c r="C58" s="440"/>
      <c r="D58" s="440"/>
      <c r="E58" s="440"/>
      <c r="F58" s="440"/>
      <c r="G58" s="441"/>
      <c r="H58" s="76"/>
      <c r="I58" s="76"/>
      <c r="J58" s="75"/>
    </row>
    <row r="59" spans="2:10" ht="20" customHeight="1" x14ac:dyDescent="0.35">
      <c r="B59" s="439"/>
      <c r="C59" s="440"/>
      <c r="D59" s="440"/>
      <c r="E59" s="440"/>
      <c r="F59" s="440"/>
      <c r="G59" s="441"/>
      <c r="H59" s="76"/>
      <c r="I59" s="76"/>
      <c r="J59" s="75"/>
    </row>
    <row r="60" spans="2:10" ht="20" customHeight="1" x14ac:dyDescent="0.35">
      <c r="B60" s="439"/>
      <c r="C60" s="440"/>
      <c r="D60" s="440"/>
      <c r="E60" s="440"/>
      <c r="F60" s="440"/>
      <c r="G60" s="441"/>
      <c r="H60" s="76"/>
      <c r="I60" s="76"/>
      <c r="J60" s="75"/>
    </row>
    <row r="61" spans="2:10" ht="20" customHeight="1" thickBot="1" x14ac:dyDescent="0.4">
      <c r="B61" s="442"/>
      <c r="C61" s="443"/>
      <c r="D61" s="443"/>
      <c r="E61" s="443"/>
      <c r="F61" s="443"/>
      <c r="G61" s="444"/>
      <c r="H61" s="438" t="s">
        <v>81</v>
      </c>
      <c r="I61" s="438"/>
      <c r="J61" s="75"/>
    </row>
    <row r="62" spans="2:10" x14ac:dyDescent="0.35">
      <c r="B62" s="77" t="s">
        <v>65</v>
      </c>
      <c r="C62" s="74"/>
      <c r="D62" s="74"/>
      <c r="E62" s="74"/>
      <c r="F62" s="74"/>
      <c r="G62" s="74"/>
      <c r="H62" s="76"/>
      <c r="I62" s="76"/>
      <c r="J62" s="74"/>
    </row>
    <row r="63" spans="2:10" x14ac:dyDescent="0.35">
      <c r="H63" s="76"/>
      <c r="I63" s="76"/>
    </row>
    <row r="64" spans="2:10" x14ac:dyDescent="0.35">
      <c r="H64" s="76"/>
      <c r="I64" s="76"/>
    </row>
    <row r="65" spans="8:9" x14ac:dyDescent="0.35">
      <c r="H65" s="76"/>
      <c r="I65" s="76"/>
    </row>
    <row r="66" spans="8:9" x14ac:dyDescent="0.35">
      <c r="H66" s="76"/>
      <c r="I66" s="76"/>
    </row>
    <row r="67" spans="8:9" x14ac:dyDescent="0.35">
      <c r="H67" s="74"/>
      <c r="I67" s="74"/>
    </row>
  </sheetData>
  <mergeCells count="30">
    <mergeCell ref="B57:G57"/>
    <mergeCell ref="H57:I57"/>
    <mergeCell ref="B58:G61"/>
    <mergeCell ref="H61:I61"/>
    <mergeCell ref="D16:E16"/>
    <mergeCell ref="D37:E37"/>
    <mergeCell ref="D38:H38"/>
    <mergeCell ref="B40:G40"/>
    <mergeCell ref="B41:G56"/>
    <mergeCell ref="H44:I44"/>
    <mergeCell ref="H45:I45"/>
    <mergeCell ref="H49:I49"/>
    <mergeCell ref="H51:I51"/>
    <mergeCell ref="H55:I55"/>
    <mergeCell ref="B12:B15"/>
    <mergeCell ref="C12:C15"/>
    <mergeCell ref="D12:E15"/>
    <mergeCell ref="F12:I12"/>
    <mergeCell ref="G2:G5"/>
    <mergeCell ref="B6:C6"/>
    <mergeCell ref="E6:I6"/>
    <mergeCell ref="B7:C7"/>
    <mergeCell ref="E7:I7"/>
    <mergeCell ref="B8:C8"/>
    <mergeCell ref="E8:I8"/>
    <mergeCell ref="B9:C9"/>
    <mergeCell ref="G9:I9"/>
    <mergeCell ref="B10:C10"/>
    <mergeCell ref="B11:C11"/>
    <mergeCell ref="E11:I11"/>
  </mergeCells>
  <pageMargins left="0.51" right="0" top="0.19" bottom="0" header="0.31496062992126" footer="0.31496062992126"/>
  <pageSetup paperSize="9" scale="67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E574-EC2A-434D-B14A-196452396AE2}">
  <dimension ref="A2:AD63"/>
  <sheetViews>
    <sheetView topLeftCell="C10" zoomScale="75" zoomScaleNormal="75" workbookViewId="0">
      <selection activeCell="O20" sqref="O20"/>
    </sheetView>
  </sheetViews>
  <sheetFormatPr defaultColWidth="9.08984375" defaultRowHeight="14.5" x14ac:dyDescent="0.35"/>
  <cols>
    <col min="1" max="1" width="9.08984375" style="1"/>
    <col min="2" max="2" width="7.54296875" style="126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6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2" width="4.9062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8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8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12" t="s">
        <v>124</v>
      </c>
      <c r="C4" s="312"/>
      <c r="D4" s="94" t="s">
        <v>13</v>
      </c>
      <c r="E4" s="313" t="s">
        <v>125</v>
      </c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164"/>
      <c r="AA4" s="1"/>
      <c r="AB4" s="1"/>
      <c r="AC4" s="1"/>
      <c r="AD4" s="1"/>
    </row>
    <row r="5" spans="2:30" x14ac:dyDescent="0.35">
      <c r="B5" s="314" t="s">
        <v>127</v>
      </c>
      <c r="C5" s="314"/>
      <c r="D5" s="94" t="s">
        <v>13</v>
      </c>
      <c r="E5" s="118" t="s">
        <v>128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95"/>
    </row>
    <row r="6" spans="2:30" ht="18" customHeight="1" x14ac:dyDescent="0.35">
      <c r="B6" s="314" t="s">
        <v>14</v>
      </c>
      <c r="C6" s="314"/>
      <c r="D6" s="94" t="s">
        <v>13</v>
      </c>
      <c r="E6" s="315" t="s">
        <v>126</v>
      </c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95"/>
    </row>
    <row r="7" spans="2:30" ht="18" customHeight="1" x14ac:dyDescent="0.35">
      <c r="B7" s="314" t="s">
        <v>130</v>
      </c>
      <c r="C7" s="314"/>
      <c r="D7" s="94" t="s">
        <v>129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95"/>
    </row>
    <row r="8" spans="2:30" ht="18" customHeight="1" x14ac:dyDescent="0.35">
      <c r="B8" s="314" t="s">
        <v>15</v>
      </c>
      <c r="C8" s="314"/>
      <c r="D8" s="94" t="s">
        <v>13</v>
      </c>
      <c r="E8" s="315" t="s">
        <v>120</v>
      </c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95"/>
    </row>
    <row r="9" spans="2:30" ht="18" customHeight="1" x14ac:dyDescent="0.35">
      <c r="B9" s="314" t="s">
        <v>122</v>
      </c>
      <c r="C9" s="314"/>
      <c r="D9" s="94" t="s">
        <v>13</v>
      </c>
      <c r="E9" s="315" t="s">
        <v>123</v>
      </c>
      <c r="F9" s="315"/>
      <c r="G9" s="315"/>
      <c r="H9" s="97" t="s">
        <v>121</v>
      </c>
      <c r="I9" s="97"/>
      <c r="J9" s="318"/>
      <c r="K9" s="318"/>
      <c r="L9" s="318"/>
      <c r="M9" s="318"/>
      <c r="N9" s="318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95"/>
    </row>
    <row r="10" spans="2:30" ht="18" customHeight="1" x14ac:dyDescent="0.35">
      <c r="B10" s="314" t="s">
        <v>16</v>
      </c>
      <c r="C10" s="314"/>
      <c r="D10" s="94" t="s">
        <v>13</v>
      </c>
      <c r="E10" s="317"/>
      <c r="F10" s="317"/>
      <c r="G10" s="317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95"/>
    </row>
    <row r="11" spans="2:30" ht="18" customHeight="1" x14ac:dyDescent="0.35">
      <c r="B11" s="314" t="s">
        <v>20</v>
      </c>
      <c r="C11" s="314"/>
      <c r="D11" s="94" t="s">
        <v>13</v>
      </c>
      <c r="E11" s="118">
        <v>100</v>
      </c>
      <c r="F11" s="117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5">
        <v>1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4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77" t="s">
        <v>25</v>
      </c>
      <c r="C13" s="374" t="s">
        <v>147</v>
      </c>
      <c r="D13" s="374" t="s">
        <v>85</v>
      </c>
      <c r="E13" s="374"/>
      <c r="F13" s="371" t="s">
        <v>92</v>
      </c>
      <c r="G13" s="371" t="s">
        <v>152</v>
      </c>
      <c r="H13" s="365" t="s">
        <v>192</v>
      </c>
      <c r="I13" s="365" t="s">
        <v>171</v>
      </c>
      <c r="J13" s="382"/>
      <c r="K13" s="382"/>
      <c r="L13" s="382"/>
      <c r="M13" s="382"/>
      <c r="N13" s="382"/>
      <c r="O13" s="362"/>
      <c r="P13" s="357" t="s">
        <v>191</v>
      </c>
      <c r="Q13" s="358"/>
      <c r="R13" s="359"/>
      <c r="S13" s="359"/>
      <c r="T13" s="360"/>
      <c r="U13" s="360"/>
      <c r="V13" s="360"/>
      <c r="W13" s="361"/>
      <c r="X13" s="362" t="s">
        <v>156</v>
      </c>
      <c r="Y13" s="368" t="s">
        <v>200</v>
      </c>
      <c r="Z13" s="95"/>
    </row>
    <row r="14" spans="2:30" x14ac:dyDescent="0.35">
      <c r="B14" s="378"/>
      <c r="C14" s="375"/>
      <c r="D14" s="375"/>
      <c r="E14" s="375"/>
      <c r="F14" s="372"/>
      <c r="G14" s="372"/>
      <c r="H14" s="366"/>
      <c r="I14" s="383" t="s">
        <v>182</v>
      </c>
      <c r="J14" s="385" t="s">
        <v>188</v>
      </c>
      <c r="K14" s="385"/>
      <c r="L14" s="385"/>
      <c r="M14" s="385"/>
      <c r="N14" s="385"/>
      <c r="O14" s="384" t="s">
        <v>193</v>
      </c>
      <c r="P14" s="180"/>
      <c r="Q14" s="212"/>
      <c r="R14" s="213"/>
      <c r="S14" s="213"/>
      <c r="T14" s="214"/>
      <c r="U14" s="214"/>
      <c r="V14" s="213"/>
      <c r="W14" s="215"/>
      <c r="X14" s="363"/>
      <c r="Y14" s="369"/>
      <c r="Z14" s="95"/>
    </row>
    <row r="15" spans="2:30" ht="23" x14ac:dyDescent="0.35">
      <c r="B15" s="378"/>
      <c r="C15" s="375"/>
      <c r="D15" s="375"/>
      <c r="E15" s="375"/>
      <c r="F15" s="372"/>
      <c r="G15" s="372"/>
      <c r="H15" s="366"/>
      <c r="I15" s="383"/>
      <c r="J15" s="188" t="s">
        <v>183</v>
      </c>
      <c r="K15" s="188" t="s">
        <v>140</v>
      </c>
      <c r="L15" s="188" t="s">
        <v>142</v>
      </c>
      <c r="M15" s="188" t="s">
        <v>144</v>
      </c>
      <c r="N15" s="188" t="s">
        <v>184</v>
      </c>
      <c r="O15" s="384"/>
      <c r="P15" s="181">
        <v>1</v>
      </c>
      <c r="Q15" s="185">
        <v>2</v>
      </c>
      <c r="R15" s="186">
        <v>3</v>
      </c>
      <c r="S15" s="186">
        <v>4</v>
      </c>
      <c r="T15" s="186">
        <v>5</v>
      </c>
      <c r="U15" s="187">
        <v>6</v>
      </c>
      <c r="V15" s="186">
        <v>7</v>
      </c>
      <c r="W15" s="380" t="s">
        <v>161</v>
      </c>
      <c r="X15" s="363"/>
      <c r="Y15" s="369"/>
      <c r="Z15" s="95"/>
    </row>
    <row r="16" spans="2:30" x14ac:dyDescent="0.35">
      <c r="B16" s="379"/>
      <c r="C16" s="376"/>
      <c r="D16" s="376"/>
      <c r="E16" s="376"/>
      <c r="F16" s="373"/>
      <c r="G16" s="373"/>
      <c r="H16" s="367"/>
      <c r="I16" s="190">
        <v>1</v>
      </c>
      <c r="J16" s="188">
        <v>2</v>
      </c>
      <c r="K16" s="188">
        <v>3</v>
      </c>
      <c r="L16" s="188">
        <v>4</v>
      </c>
      <c r="M16" s="188">
        <v>5</v>
      </c>
      <c r="N16" s="188">
        <v>6</v>
      </c>
      <c r="O16" s="182">
        <v>7</v>
      </c>
      <c r="P16" s="183">
        <v>0</v>
      </c>
      <c r="Q16" s="165">
        <f>P16+0.167</f>
        <v>0.16700000000000001</v>
      </c>
      <c r="R16" s="165">
        <f>Q16+0.167</f>
        <v>0.33400000000000002</v>
      </c>
      <c r="S16" s="165">
        <f>R16+0.167</f>
        <v>0.501</v>
      </c>
      <c r="T16" s="165">
        <f>S16+0.167</f>
        <v>0.66800000000000004</v>
      </c>
      <c r="U16" s="165">
        <f>T16+0.167</f>
        <v>0.83500000000000008</v>
      </c>
      <c r="V16" s="165">
        <v>1</v>
      </c>
      <c r="W16" s="381"/>
      <c r="X16" s="364"/>
      <c r="Y16" s="370"/>
      <c r="Z16" s="95"/>
    </row>
    <row r="17" spans="1:30" s="154" customFormat="1" ht="11.25" customHeight="1" thickBot="1" x14ac:dyDescent="0.4">
      <c r="B17" s="151" t="s">
        <v>38</v>
      </c>
      <c r="C17" s="152" t="s">
        <v>39</v>
      </c>
      <c r="D17" s="328" t="s">
        <v>40</v>
      </c>
      <c r="E17" s="329"/>
      <c r="F17" s="153" t="s">
        <v>41</v>
      </c>
      <c r="G17" s="152" t="s">
        <v>42</v>
      </c>
      <c r="H17" s="197" t="s">
        <v>43</v>
      </c>
      <c r="I17" s="191" t="s">
        <v>189</v>
      </c>
      <c r="J17" s="191" t="s">
        <v>91</v>
      </c>
      <c r="K17" s="192" t="s">
        <v>162</v>
      </c>
      <c r="L17" s="192" t="s">
        <v>163</v>
      </c>
      <c r="M17" s="192" t="s">
        <v>172</v>
      </c>
      <c r="N17" s="192" t="s">
        <v>173</v>
      </c>
      <c r="O17" s="193" t="s">
        <v>174</v>
      </c>
      <c r="P17" s="211" t="s">
        <v>175</v>
      </c>
      <c r="Q17" s="191" t="s">
        <v>176</v>
      </c>
      <c r="R17" s="192" t="s">
        <v>177</v>
      </c>
      <c r="S17" s="192" t="s">
        <v>178</v>
      </c>
      <c r="T17" s="192" t="s">
        <v>179</v>
      </c>
      <c r="U17" s="196" t="s">
        <v>180</v>
      </c>
      <c r="V17" s="196" t="s">
        <v>181</v>
      </c>
      <c r="W17" s="193" t="s">
        <v>185</v>
      </c>
      <c r="X17" s="200" t="s">
        <v>187</v>
      </c>
      <c r="Y17" s="178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246" t="s">
        <v>153</v>
      </c>
      <c r="E18" s="246"/>
      <c r="F18" s="142" t="s">
        <v>196</v>
      </c>
      <c r="G18" s="172"/>
      <c r="H18" s="240"/>
      <c r="I18" s="341" t="s">
        <v>90</v>
      </c>
      <c r="J18" s="342"/>
      <c r="K18" s="342"/>
      <c r="L18" s="342"/>
      <c r="M18" s="342"/>
      <c r="N18" s="342"/>
      <c r="O18" s="343"/>
      <c r="P18" s="194"/>
      <c r="Q18" s="195"/>
      <c r="R18" s="195"/>
      <c r="S18" s="195"/>
      <c r="T18" s="195"/>
      <c r="U18" s="195"/>
      <c r="V18" s="195"/>
      <c r="W18" s="226" t="e">
        <f>IF($H$35="Rusak Berat","",VLOOKUP(I18,Sheet5!B12:C18,2,FALSE))</f>
        <v>#N/A</v>
      </c>
      <c r="X18" s="242">
        <v>0.12</v>
      </c>
      <c r="Y18" s="176" t="e">
        <f>IF(H35="Rusak Berat","",IF(I35="Rusak Berat","",W18*X18))</f>
        <v>#N/A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247" t="s">
        <v>154</v>
      </c>
      <c r="E19" s="247"/>
      <c r="F19" s="85" t="s">
        <v>86</v>
      </c>
      <c r="G19" s="171">
        <v>10</v>
      </c>
      <c r="H19" s="241"/>
      <c r="I19" s="203"/>
      <c r="J19" s="166"/>
      <c r="K19" s="166"/>
      <c r="L19" s="166"/>
      <c r="M19" s="166"/>
      <c r="N19" s="166"/>
      <c r="O19" s="204">
        <v>10</v>
      </c>
      <c r="P19" s="194" t="e">
        <f>IF($H$35="Rusak Berat","",IF($W$18&gt;0.2,"",I19/G19*$P$16))</f>
        <v>#N/A</v>
      </c>
      <c r="Q19" s="195" t="e">
        <f>IF($H$35="Rusak Berat","",IF($W$18&gt;0.2,"",J19/G19*$Q$16))</f>
        <v>#N/A</v>
      </c>
      <c r="R19" s="195" t="e">
        <f>IF($H$35="Rusak Berat","",IF($W$18&gt;0.2,"",K19/G19*$R$16))</f>
        <v>#N/A</v>
      </c>
      <c r="S19" s="195" t="e">
        <f>IF($H$35="Rusak Berat","",IF($W$18&gt;0.2,"",L19/G19*$S$16))</f>
        <v>#N/A</v>
      </c>
      <c r="T19" s="195" t="e">
        <f>IF($H$35="Rusak Berat","",IF($W$18&gt;0.2,"",M19/G19*$T$16))</f>
        <v>#N/A</v>
      </c>
      <c r="U19" s="195" t="e">
        <f>IF($H$35="Rusak Berat","",IF($W$18&gt;0.2,"",N19/G19*$U$16))</f>
        <v>#N/A</v>
      </c>
      <c r="V19" s="195" t="e">
        <f>IF($H$35="Rusak Berat","",IF($W$18&gt;0.2,"",O19/G19*$V$16))</f>
        <v>#N/A</v>
      </c>
      <c r="W19" s="226" t="e">
        <f>IF($H$35="Rusak Berat","",IF($W$18&gt;0.2,"",SUM(P19:V19)))</f>
        <v>#N/A</v>
      </c>
      <c r="X19" s="243">
        <v>0.06</v>
      </c>
      <c r="Y19" s="177" t="e">
        <f>IF(H35="Rusak Berat","",IF(I35="Rusak Berat","",W19*X19))</f>
        <v>#N/A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453" t="s">
        <v>155</v>
      </c>
      <c r="E20" s="453"/>
      <c r="F20" s="85" t="s">
        <v>86</v>
      </c>
      <c r="G20" s="171">
        <v>4</v>
      </c>
      <c r="H20" s="241"/>
      <c r="I20" s="203"/>
      <c r="J20" s="166"/>
      <c r="K20" s="166"/>
      <c r="L20" s="166"/>
      <c r="M20" s="166"/>
      <c r="N20" s="166"/>
      <c r="O20" s="204"/>
      <c r="P20" s="194" t="e">
        <f>IF($H$35="Rusak Berat","",IF($W$18&gt;0.2,"",I20/G20*$P$16))</f>
        <v>#N/A</v>
      </c>
      <c r="Q20" s="195" t="e">
        <f>IF($H$35="Rusak Berat","",IF($W$18&gt;0.2,"",J20/G20*$Q$16))</f>
        <v>#N/A</v>
      </c>
      <c r="R20" s="195" t="e">
        <f>IF($H$35="Rusak Berat","",IF($W$18&gt;0.2,"",K20/G20*$R$16))</f>
        <v>#N/A</v>
      </c>
      <c r="S20" s="195" t="e">
        <f>IF($H$35="Rusak Berat","",IF($W$18&gt;0.2,"",L20/G20*$S$16))</f>
        <v>#N/A</v>
      </c>
      <c r="T20" s="195" t="e">
        <f>IF($H$35="Rusak Berat","",IF($W$18&gt;0.2,"",M20/G20*$T$16))</f>
        <v>#N/A</v>
      </c>
      <c r="U20" s="195" t="e">
        <f>IF($H$35="Rusak Berat","",IF($W$18&gt;0.2,"",N20/G20*$U$16))</f>
        <v>#N/A</v>
      </c>
      <c r="V20" s="195" t="e">
        <f>IF($H$35="Rusak Berat","",IF($W$18&gt;0.2,"",O20/G20*$V$16))</f>
        <v>#N/A</v>
      </c>
      <c r="W20" s="226" t="e">
        <f>IF($H$35="Rusak Berat","",IF($W$18&gt;0.2,"",SUM(P20:V20)))</f>
        <v>#N/A</v>
      </c>
      <c r="X20" s="243">
        <v>0.05</v>
      </c>
      <c r="Y20" s="177" t="e">
        <f>IF(H35="Rusak Berat","",IF(I35="Rusak Berat","",W20*X20))</f>
        <v>#N/A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/>
      <c r="C21" s="84"/>
      <c r="D21" s="453" t="s">
        <v>148</v>
      </c>
      <c r="E21" s="453"/>
      <c r="F21" s="85" t="s">
        <v>21</v>
      </c>
      <c r="G21" s="171">
        <v>10</v>
      </c>
      <c r="H21" s="241"/>
      <c r="I21" s="203"/>
      <c r="J21" s="166"/>
      <c r="K21" s="166"/>
      <c r="L21" s="166"/>
      <c r="M21" s="166"/>
      <c r="N21" s="166"/>
      <c r="O21" s="204"/>
      <c r="P21" s="194" t="e">
        <f>IF($H$35="Rusak Berat","",IF($W$18&gt;0.2,"",I21/G21*$P$16))</f>
        <v>#N/A</v>
      </c>
      <c r="Q21" s="195" t="e">
        <f>IF($H$35="Rusak Berat","",IF($W$18&gt;0.2,"",J21/G21*$Q$16))</f>
        <v>#N/A</v>
      </c>
      <c r="R21" s="195" t="e">
        <f>IF($H$35="Rusak Berat","",IF($W$18&gt;0.2,"",K21/G21*$R$16))</f>
        <v>#N/A</v>
      </c>
      <c r="S21" s="195" t="e">
        <f>IF($H$35="Rusak Berat","",IF($W$18&gt;0.2,"",L21/G21*$S$16))</f>
        <v>#N/A</v>
      </c>
      <c r="T21" s="195" t="e">
        <f>IF($H$35="Rusak Berat","",IF($W$18&gt;0.2,"",M21/G21*$T$16))</f>
        <v>#N/A</v>
      </c>
      <c r="U21" s="195" t="e">
        <f>IF($H$35="Rusak Berat","",IF($W$18&gt;0.2,"",N21/G21*$U$16))</f>
        <v>#N/A</v>
      </c>
      <c r="V21" s="195" t="e">
        <f>IF($H$35="Rusak Berat","",IF($W$18&gt;0.2,"",O21/G21*$V$16))</f>
        <v>#N/A</v>
      </c>
      <c r="W21" s="226" t="e">
        <f>IF($H$35="Rusak Berat","",IF($W$18&gt;0.2,"",SUM(P21:V21)))</f>
        <v>#N/A</v>
      </c>
      <c r="X21" s="243">
        <v>0</v>
      </c>
      <c r="Y21" s="177" t="e">
        <f>IF(H35="Rusak Berat","",IF(I35="Rusak Berat","",W21*X21))</f>
        <v>#N/A</v>
      </c>
      <c r="Z21" s="95"/>
      <c r="AA21" s="1"/>
      <c r="AB21" s="1"/>
      <c r="AC21" s="1"/>
      <c r="AD21" s="1"/>
    </row>
    <row r="22" spans="1:30" s="80" customFormat="1" ht="36" customHeight="1" x14ac:dyDescent="0.35">
      <c r="B22" s="83" t="s">
        <v>65</v>
      </c>
      <c r="C22" s="218"/>
      <c r="D22" s="454" t="s">
        <v>194</v>
      </c>
      <c r="E22" s="454"/>
      <c r="F22" s="248" t="s">
        <v>117</v>
      </c>
      <c r="G22" s="174">
        <v>100</v>
      </c>
      <c r="H22" s="249"/>
      <c r="I22" s="229"/>
      <c r="J22" s="230"/>
      <c r="K22" s="230"/>
      <c r="L22" s="230"/>
      <c r="M22" s="230"/>
      <c r="N22" s="230"/>
      <c r="O22" s="231"/>
      <c r="P22" s="250" t="e">
        <f>IF($H$35="Rusak Berat","",IF($W$18&gt;0.2,"",IF((SUM($W$19:$W$21)/3)&gt;0.3,"",I22/G22*100*$P$16)))</f>
        <v>#N/A</v>
      </c>
      <c r="Q22" s="251" t="e">
        <f>IF($H$35="Rusak Berat","",IF($W$18&gt;0.2,"",IF((SUM($W$19:$W$21)/3)&gt;0.3,"",J22/G22*100*$Q$16)))</f>
        <v>#N/A</v>
      </c>
      <c r="R22" s="251" t="e">
        <f>IF($H$35="Rusak Berat","",IF($W$18&gt;0.2,"",IF((SUM($W$19:$W$21)/3)&gt;0.3,"",K22/G22*100*$R$16)))</f>
        <v>#N/A</v>
      </c>
      <c r="S22" s="251" t="e">
        <f>IF($H$35="Rusak Berat","",IF($W$18&gt;0.2,"",IF((SUM($W$19:$W$21)/3)&gt;0.3,"",L22/G22*100*$S$16)))</f>
        <v>#N/A</v>
      </c>
      <c r="T22" s="251" t="e">
        <f>IF($H$35="Rusak Berat","",IF($W$18&gt;0.2,"",IF((SUM($W$19:$W$21)/3)&gt;0.3,"",M22/G22*100*$T$16)))</f>
        <v>#N/A</v>
      </c>
      <c r="U22" s="251" t="e">
        <f>IF($H$35="Rusak Berat","",IF($W$18&gt;0.2,"",IF((SUM($W$19:$W$21)/3)&gt;0.3,"",N22/G22*100*$U$16)))</f>
        <v>#N/A</v>
      </c>
      <c r="V22" s="251" t="e">
        <f>IF($H$35="Rusak Berat","",IF($W$18&gt;0.2,"",IF((SUM($W$19:$W$21)/3)&gt;0.3,"",O22/G22*100*$V$16)))</f>
        <v>#N/A</v>
      </c>
      <c r="W22" s="252" t="e">
        <f>IF($H$35="Rusak Berat","",IF($W$18&gt;0.2,"",IF((SUM($W$19:$W$21)/3)&gt;0.3,"",SUM(P22:V22))))</f>
        <v>#N/A</v>
      </c>
      <c r="X22" s="253">
        <v>0.105</v>
      </c>
      <c r="Y22" s="254" t="e">
        <f>IF(H35="Rusak Berat","",IF(I35="Rusak Berat","",W22*X22))</f>
        <v>#N/A</v>
      </c>
      <c r="Z22" s="95"/>
      <c r="AA22" s="1"/>
      <c r="AB22" s="1"/>
      <c r="AC22" s="1"/>
      <c r="AD22" s="1"/>
    </row>
    <row r="23" spans="1:30" ht="36" customHeight="1" x14ac:dyDescent="0.35">
      <c r="B23" s="78"/>
      <c r="C23" s="82" t="s">
        <v>149</v>
      </c>
      <c r="D23" s="246" t="s">
        <v>150</v>
      </c>
      <c r="E23" s="246"/>
      <c r="F23" s="142" t="s">
        <v>21</v>
      </c>
      <c r="G23" s="255">
        <v>100</v>
      </c>
      <c r="H23" s="240"/>
      <c r="I23" s="256"/>
      <c r="J23" s="257"/>
      <c r="K23" s="257"/>
      <c r="L23" s="257"/>
      <c r="M23" s="257"/>
      <c r="N23" s="257"/>
      <c r="O23" s="258"/>
      <c r="P23" s="234" t="e">
        <f>IF($H$35="Rusak Berat","",IF($W$18&gt;0.2,"",IF((SUM($W$19:$W$21)/3)&gt;0.3,"",IF($W$22&gt;0.5,"",I23/G23*$P$16))))</f>
        <v>#N/A</v>
      </c>
      <c r="Q23" s="235" t="e">
        <f>IF($H$35="Rusak Berat","",IF($W$18&gt;0.2,"",IF((SUM($W$19:$W$21)/3)&gt;0.3,"",IF($W$22&gt;0.5,"",J23/G23*$Q$16))))</f>
        <v>#N/A</v>
      </c>
      <c r="R23" s="235" t="e">
        <f>IF($H$35="Rusak Berat","",IF($W$18&gt;0.2,"",IF((SUM($W$19:$W$21)/3)&gt;0.3,"",IF($W$22&gt;0.5,"",K23/G23*$R$16))))</f>
        <v>#N/A</v>
      </c>
      <c r="S23" s="235" t="e">
        <f>IF($H$35="Rusak Berat","",IF($W$18&gt;0.2,"",IF((SUM($W$19:$W$21)/3)&gt;0.3,"",IF($W$22&gt;0.5,"",L23/G23*$S$16))))</f>
        <v>#N/A</v>
      </c>
      <c r="T23" s="235" t="e">
        <f>IF($H$35="Rusak Berat","",IF($W$18&gt;0.2,"",IF((SUM($W$19:$W$21)/3)&gt;0.3,"",IF($W$22&gt;0.5,"",M23/G23*$T$16))))</f>
        <v>#N/A</v>
      </c>
      <c r="U23" s="235" t="e">
        <f>IF($H$35="Rusak Berat","",IF($W$18&gt;0.2,"",IF((SUM($W$19:$W$21)/3)&gt;0.3,"",IF($W$22&gt;0.5,"",N23/G23*$U$16))))</f>
        <v>#N/A</v>
      </c>
      <c r="V23" s="235" t="e">
        <f>IF($H$35="Rusak Berat","",IF($W$18&gt;0.2,"",IF((SUM($W$19:$W$21)/3)&gt;0.3,"",IF($W$22&gt;0.5,"",O23/G23*$V$16))))</f>
        <v>#N/A</v>
      </c>
      <c r="W23" s="236" t="e">
        <f>IF($H$35="Rusak Berat","",IF($W$18&gt;0.2,"",IF((SUM($W$19:$W$21)/3)&gt;0.3,"",IF($W$22&gt;0.5,"",SUM(P23:V23)))))</f>
        <v>#N/A</v>
      </c>
      <c r="X23" s="242">
        <v>0.26</v>
      </c>
      <c r="Y23" s="176" t="e">
        <f>IF(H35="Rusak Berat","",IF(I35="Rusak Berat","",W23*X23))</f>
        <v>#N/A</v>
      </c>
      <c r="Z23" s="95"/>
    </row>
    <row r="24" spans="1:30" ht="36" customHeight="1" x14ac:dyDescent="0.35">
      <c r="B24" s="148">
        <v>2</v>
      </c>
      <c r="D24" s="86" t="s">
        <v>151</v>
      </c>
      <c r="E24" s="86"/>
      <c r="F24" s="149" t="s">
        <v>21</v>
      </c>
      <c r="G24" s="219">
        <v>1</v>
      </c>
      <c r="H24" s="222"/>
      <c r="I24" s="201"/>
      <c r="J24" s="189"/>
      <c r="K24" s="189"/>
      <c r="L24" s="189"/>
      <c r="M24" s="189"/>
      <c r="N24" s="189"/>
      <c r="O24" s="202"/>
      <c r="P24" s="194" t="e">
        <f>IF($H$35="Rusak Berat","",IF($I$35="Rusak Berat","",I24/G24*$P$16))</f>
        <v>#N/A</v>
      </c>
      <c r="Q24" s="195" t="e">
        <f>IF($H$35="Rusak Berat","",IF($I$35="Rusak Berat","",J24/G24*$Q$16))</f>
        <v>#N/A</v>
      </c>
      <c r="R24" s="195" t="e">
        <f>IF($H$35="Rusak Berat","",IF($I$35="Rusak Berat","",K24/G24*$R$16))</f>
        <v>#N/A</v>
      </c>
      <c r="S24" s="195" t="e">
        <f>IF($H$35="Rusak Berat","",IF($I$35="Rusak Berat","",L24/G24*$S$16))</f>
        <v>#N/A</v>
      </c>
      <c r="T24" s="195" t="e">
        <f>IF($H$35="Rusak Berat","",IF($I$35="Rusak Berat","",M24/G24*$T$16))</f>
        <v>#N/A</v>
      </c>
      <c r="U24" s="195" t="e">
        <f>IF($H$35="Rusak Berat","",IF($I$35="Rusak Berat","",N24/G24*$U$16))</f>
        <v>#N/A</v>
      </c>
      <c r="V24" s="195" t="e">
        <f>IF($H$35="Rusak Berat","",IF($I$35="Rusak Berat","",O24/G24*$V$16))</f>
        <v>#N/A</v>
      </c>
      <c r="W24" s="226" t="e">
        <f>IF($H$35="Rusak Berat","",IF($I$35="Rusak Berat","",SUM(P24:V24)))</f>
        <v>#N/A</v>
      </c>
      <c r="X24" s="244">
        <v>0.15</v>
      </c>
      <c r="Y24" s="223" t="e">
        <f>IF(H35="Rusak Berat","",IF(I35="Rusak Berat","",W24*X24))</f>
        <v>#N/A</v>
      </c>
      <c r="Z24" s="95"/>
    </row>
    <row r="25" spans="1:30" ht="36" customHeight="1" x14ac:dyDescent="0.35">
      <c r="B25" s="148"/>
      <c r="C25" s="84"/>
      <c r="D25" s="141" t="s">
        <v>201</v>
      </c>
      <c r="E25" s="141"/>
      <c r="F25" s="150" t="s">
        <v>86</v>
      </c>
      <c r="G25" s="171">
        <v>4</v>
      </c>
      <c r="H25" s="198"/>
      <c r="I25" s="203"/>
      <c r="J25" s="166"/>
      <c r="K25" s="166"/>
      <c r="L25" s="166"/>
      <c r="M25" s="166"/>
      <c r="N25" s="166"/>
      <c r="O25" s="204"/>
      <c r="P25" s="194" t="e">
        <f>IF($H$35="Rusak Berat","",IF($I$35="Rusak Berat","",I25/G25*$P$16))</f>
        <v>#N/A</v>
      </c>
      <c r="Q25" s="195" t="e">
        <f>IF($H$35="Rusak Berat","",IF($I$35="Rusak Berat","",J25/G25*$Q$16))</f>
        <v>#N/A</v>
      </c>
      <c r="R25" s="195" t="e">
        <f>IF($H$35="Rusak Berat","",IF($I$35="Rusak Berat","",K25/G25*$R$16))</f>
        <v>#N/A</v>
      </c>
      <c r="S25" s="195" t="e">
        <f>IF($H$35="Rusak Berat","",IF($I$35="Rusak Berat","",L25/G25*$S$16))</f>
        <v>#N/A</v>
      </c>
      <c r="T25" s="195" t="e">
        <f>IF($H$35="Rusak Berat","",IF($I$35="Rusak Berat","",M25/G25*$T$16))</f>
        <v>#N/A</v>
      </c>
      <c r="U25" s="195" t="e">
        <f>IF($H$35="Rusak Berat","",IF($I$35="Rusak Berat","",N25/G25*$U$16))</f>
        <v>#N/A</v>
      </c>
      <c r="V25" s="195" t="e">
        <f>IF($H$35="Rusak Berat","",IF($I$35="Rusak Berat","",O25/G25*$V$16))</f>
        <v>#N/A</v>
      </c>
      <c r="W25" s="226" t="e">
        <f>IF($H$35="Rusak Berat","",IF($I$35="Rusak Berat","",SUM(P25:V25)))</f>
        <v>#N/A</v>
      </c>
      <c r="X25" s="243">
        <v>0</v>
      </c>
      <c r="Y25" s="177" t="e">
        <f>IF(H35="Rusak Berat","",IF(I35="Rusak Berat","",W25*X25))</f>
        <v>#N/A</v>
      </c>
      <c r="Z25" s="95"/>
    </row>
    <row r="26" spans="1:30" ht="36" customHeight="1" x14ac:dyDescent="0.35">
      <c r="B26" s="148"/>
      <c r="C26" s="84"/>
      <c r="D26" s="141" t="s">
        <v>61</v>
      </c>
      <c r="E26" s="141"/>
      <c r="F26" s="150" t="s">
        <v>86</v>
      </c>
      <c r="G26" s="171">
        <v>4</v>
      </c>
      <c r="H26" s="198"/>
      <c r="I26" s="203"/>
      <c r="J26" s="166"/>
      <c r="K26" s="166"/>
      <c r="L26" s="166"/>
      <c r="M26" s="166"/>
      <c r="N26" s="166"/>
      <c r="O26" s="204"/>
      <c r="P26" s="194" t="e">
        <f t="shared" ref="P26:P31" si="0">IF($H$35="Rusak Berat","",IF($I$35="Rusak Berat","",I26/G26*$P$16))</f>
        <v>#N/A</v>
      </c>
      <c r="Q26" s="195" t="e">
        <f t="shared" ref="Q26:Q31" si="1">IF($H$35="Rusak Berat","",IF($I$35="Rusak Berat","",J26/G26*$Q$16))</f>
        <v>#N/A</v>
      </c>
      <c r="R26" s="195" t="e">
        <f t="shared" ref="R26:R31" si="2">IF($H$35="Rusak Berat","",IF($I$35="Rusak Berat","",K26/G26*$R$16))</f>
        <v>#N/A</v>
      </c>
      <c r="S26" s="195" t="e">
        <f t="shared" ref="S26:S31" si="3">IF($H$35="Rusak Berat","",IF($I$35="Rusak Berat","",L26/G26*$S$16))</f>
        <v>#N/A</v>
      </c>
      <c r="T26" s="195" t="e">
        <f t="shared" ref="T26:T31" si="4">IF($H$35="Rusak Berat","",IF($I$35="Rusak Berat","",M26/G26*$T$16))</f>
        <v>#N/A</v>
      </c>
      <c r="U26" s="195" t="e">
        <f t="shared" ref="U26:U31" si="5">IF($H$35="Rusak Berat","",IF($I$35="Rusak Berat","",N26/G26*$U$16))</f>
        <v>#N/A</v>
      </c>
      <c r="V26" s="195" t="e">
        <f t="shared" ref="V26:V31" si="6">IF($H$35="Rusak Berat","",IF($I$35="Rusak Berat","",O26/G26*$V$16))</f>
        <v>#N/A</v>
      </c>
      <c r="W26" s="226" t="e">
        <f t="shared" ref="W26:W31" si="7">IF($H$35="Rusak Berat","",IF($I$35="Rusak Berat","",SUM(P26:V26)))</f>
        <v>#N/A</v>
      </c>
      <c r="X26" s="243">
        <v>0</v>
      </c>
      <c r="Y26" s="177" t="e">
        <f>IF(H35="Rusak Berat","",IF(I35="Rusak Berat","",W26*X26))</f>
        <v>#N/A</v>
      </c>
      <c r="Z26" s="95"/>
    </row>
    <row r="27" spans="1:30" ht="36" customHeight="1" x14ac:dyDescent="0.35">
      <c r="B27" s="148"/>
      <c r="C27" s="84"/>
      <c r="D27" s="141" t="s">
        <v>157</v>
      </c>
      <c r="E27" s="141"/>
      <c r="F27" s="150" t="s">
        <v>86</v>
      </c>
      <c r="G27" s="171">
        <v>1</v>
      </c>
      <c r="H27" s="198"/>
      <c r="I27" s="203"/>
      <c r="J27" s="166"/>
      <c r="K27" s="166"/>
      <c r="L27" s="166"/>
      <c r="M27" s="166"/>
      <c r="N27" s="166"/>
      <c r="O27" s="204"/>
      <c r="P27" s="194" t="e">
        <f t="shared" si="0"/>
        <v>#N/A</v>
      </c>
      <c r="Q27" s="195" t="e">
        <f t="shared" si="1"/>
        <v>#N/A</v>
      </c>
      <c r="R27" s="195" t="e">
        <f t="shared" si="2"/>
        <v>#N/A</v>
      </c>
      <c r="S27" s="195" t="e">
        <f t="shared" si="3"/>
        <v>#N/A</v>
      </c>
      <c r="T27" s="195" t="e">
        <f t="shared" si="4"/>
        <v>#N/A</v>
      </c>
      <c r="U27" s="195" t="e">
        <f t="shared" si="5"/>
        <v>#N/A</v>
      </c>
      <c r="V27" s="195" t="e">
        <f t="shared" si="6"/>
        <v>#N/A</v>
      </c>
      <c r="W27" s="226" t="e">
        <f t="shared" si="7"/>
        <v>#N/A</v>
      </c>
      <c r="X27" s="243">
        <v>6.5000000000000002E-2</v>
      </c>
      <c r="Y27" s="177" t="e">
        <f>IF(H35="Rusak Berat","",IF(I35="Rusak Berat","",W27*X27))</f>
        <v>#N/A</v>
      </c>
      <c r="Z27" s="95"/>
    </row>
    <row r="28" spans="1:30" x14ac:dyDescent="0.35">
      <c r="B28" s="148"/>
      <c r="C28" s="84"/>
      <c r="D28" s="141" t="s">
        <v>160</v>
      </c>
      <c r="E28" s="141"/>
      <c r="F28" s="143" t="s">
        <v>21</v>
      </c>
      <c r="G28" s="130">
        <v>1</v>
      </c>
      <c r="H28" s="198"/>
      <c r="I28" s="205"/>
      <c r="J28" s="167"/>
      <c r="K28" s="167"/>
      <c r="L28" s="167"/>
      <c r="M28" s="167"/>
      <c r="N28" s="167"/>
      <c r="O28" s="206"/>
      <c r="P28" s="194" t="e">
        <f t="shared" si="0"/>
        <v>#N/A</v>
      </c>
      <c r="Q28" s="195" t="e">
        <f t="shared" si="1"/>
        <v>#N/A</v>
      </c>
      <c r="R28" s="195" t="e">
        <f t="shared" si="2"/>
        <v>#N/A</v>
      </c>
      <c r="S28" s="195" t="e">
        <f t="shared" si="3"/>
        <v>#N/A</v>
      </c>
      <c r="T28" s="195" t="e">
        <f t="shared" si="4"/>
        <v>#N/A</v>
      </c>
      <c r="U28" s="195" t="e">
        <f t="shared" si="5"/>
        <v>#N/A</v>
      </c>
      <c r="V28" s="195" t="e">
        <f t="shared" si="6"/>
        <v>#N/A</v>
      </c>
      <c r="W28" s="226" t="e">
        <f t="shared" si="7"/>
        <v>#N/A</v>
      </c>
      <c r="X28" s="243">
        <v>0.1</v>
      </c>
      <c r="Y28" s="177" t="e">
        <f>IF(H35="Rusak Berat","",IF(I35="Rusak Berat","",W28*X28))</f>
        <v>#N/A</v>
      </c>
      <c r="Z28" s="95"/>
    </row>
    <row r="29" spans="1:30" x14ac:dyDescent="0.35">
      <c r="B29" s="148"/>
      <c r="C29" s="84"/>
      <c r="D29" s="141" t="s">
        <v>158</v>
      </c>
      <c r="E29" s="141"/>
      <c r="F29" s="150" t="s">
        <v>117</v>
      </c>
      <c r="G29" s="172">
        <v>100</v>
      </c>
      <c r="H29" s="198"/>
      <c r="I29" s="207"/>
      <c r="J29" s="168"/>
      <c r="K29" s="168"/>
      <c r="L29" s="168"/>
      <c r="M29" s="168"/>
      <c r="N29" s="168"/>
      <c r="O29" s="208"/>
      <c r="P29" s="194" t="e">
        <f t="shared" si="0"/>
        <v>#N/A</v>
      </c>
      <c r="Q29" s="195" t="e">
        <f t="shared" si="1"/>
        <v>#N/A</v>
      </c>
      <c r="R29" s="195" t="e">
        <f t="shared" si="2"/>
        <v>#N/A</v>
      </c>
      <c r="S29" s="195" t="e">
        <f t="shared" si="3"/>
        <v>#N/A</v>
      </c>
      <c r="T29" s="195" t="e">
        <f t="shared" si="4"/>
        <v>#N/A</v>
      </c>
      <c r="U29" s="195" t="e">
        <f t="shared" si="5"/>
        <v>#N/A</v>
      </c>
      <c r="V29" s="195" t="e">
        <f t="shared" si="6"/>
        <v>#N/A</v>
      </c>
      <c r="W29" s="226" t="e">
        <f t="shared" si="7"/>
        <v>#N/A</v>
      </c>
      <c r="X29" s="243">
        <v>0.03</v>
      </c>
      <c r="Y29" s="177" t="e">
        <f>IF(H35="Rusak Berat","",IF(I35="Rusak Berat","",W29*X29))</f>
        <v>#N/A</v>
      </c>
      <c r="Z29" s="95"/>
    </row>
    <row r="30" spans="1:30" x14ac:dyDescent="0.35">
      <c r="B30" s="148"/>
      <c r="C30" s="84"/>
      <c r="D30" s="141" t="s">
        <v>73</v>
      </c>
      <c r="E30" s="141"/>
      <c r="F30" s="150" t="s">
        <v>117</v>
      </c>
      <c r="G30" s="173">
        <v>100</v>
      </c>
      <c r="H30" s="198"/>
      <c r="I30" s="207"/>
      <c r="J30" s="168"/>
      <c r="K30" s="168"/>
      <c r="L30" s="168"/>
      <c r="M30" s="168"/>
      <c r="N30" s="168"/>
      <c r="O30" s="208"/>
      <c r="P30" s="194" t="e">
        <f t="shared" si="0"/>
        <v>#N/A</v>
      </c>
      <c r="Q30" s="195" t="e">
        <f t="shared" si="1"/>
        <v>#N/A</v>
      </c>
      <c r="R30" s="195" t="e">
        <f t="shared" si="2"/>
        <v>#N/A</v>
      </c>
      <c r="S30" s="195" t="e">
        <f t="shared" si="3"/>
        <v>#N/A</v>
      </c>
      <c r="T30" s="195" t="e">
        <f t="shared" si="4"/>
        <v>#N/A</v>
      </c>
      <c r="U30" s="195" t="e">
        <f t="shared" si="5"/>
        <v>#N/A</v>
      </c>
      <c r="V30" s="195" t="e">
        <f t="shared" si="6"/>
        <v>#N/A</v>
      </c>
      <c r="W30" s="226" t="e">
        <f t="shared" si="7"/>
        <v>#N/A</v>
      </c>
      <c r="X30" s="243">
        <v>0.04</v>
      </c>
      <c r="Y30" s="177" t="e">
        <f>IF(H35="Rusak Berat","",IF(I35="Rusak Berat","",W30*X30))</f>
        <v>#N/A</v>
      </c>
      <c r="Z30" s="95"/>
    </row>
    <row r="31" spans="1:30" x14ac:dyDescent="0.35">
      <c r="A31" s="109"/>
      <c r="B31" s="175"/>
      <c r="C31" s="79"/>
      <c r="D31" s="163" t="s">
        <v>159</v>
      </c>
      <c r="E31" s="141"/>
      <c r="F31" s="150" t="s">
        <v>117</v>
      </c>
      <c r="G31" s="174">
        <v>100</v>
      </c>
      <c r="H31" s="228"/>
      <c r="I31" s="229"/>
      <c r="J31" s="230"/>
      <c r="K31" s="230"/>
      <c r="L31" s="230"/>
      <c r="M31" s="230"/>
      <c r="N31" s="230"/>
      <c r="O31" s="231"/>
      <c r="P31" s="194" t="e">
        <f t="shared" si="0"/>
        <v>#N/A</v>
      </c>
      <c r="Q31" s="195" t="e">
        <f t="shared" si="1"/>
        <v>#N/A</v>
      </c>
      <c r="R31" s="195" t="e">
        <f t="shared" si="2"/>
        <v>#N/A</v>
      </c>
      <c r="S31" s="195" t="e">
        <f t="shared" si="3"/>
        <v>#N/A</v>
      </c>
      <c r="T31" s="195" t="e">
        <f t="shared" si="4"/>
        <v>#N/A</v>
      </c>
      <c r="U31" s="195" t="e">
        <f t="shared" si="5"/>
        <v>#N/A</v>
      </c>
      <c r="V31" s="195" t="e">
        <f t="shared" si="6"/>
        <v>#N/A</v>
      </c>
      <c r="W31" s="226" t="e">
        <f t="shared" si="7"/>
        <v>#N/A</v>
      </c>
      <c r="X31" s="243">
        <v>0</v>
      </c>
      <c r="Y31" s="177" t="e">
        <f>IF(H35="Rusak Berat","",IF(I35="Rusak Berat","",W31*X31))</f>
        <v>#N/A</v>
      </c>
      <c r="Z31" s="95"/>
    </row>
    <row r="32" spans="1:30" ht="36" customHeight="1" x14ac:dyDescent="0.35">
      <c r="B32" s="145">
        <v>3</v>
      </c>
      <c r="C32" s="82" t="s">
        <v>66</v>
      </c>
      <c r="D32" s="86" t="s">
        <v>67</v>
      </c>
      <c r="E32" s="116"/>
      <c r="F32" s="142" t="s">
        <v>196</v>
      </c>
      <c r="G32" s="232"/>
      <c r="H32" s="233"/>
      <c r="I32" s="393" t="s">
        <v>90</v>
      </c>
      <c r="J32" s="394"/>
      <c r="K32" s="394"/>
      <c r="L32" s="394"/>
      <c r="M32" s="394"/>
      <c r="N32" s="394"/>
      <c r="O32" s="395"/>
      <c r="P32" s="234"/>
      <c r="Q32" s="235"/>
      <c r="R32" s="235"/>
      <c r="S32" s="235"/>
      <c r="T32" s="235"/>
      <c r="U32" s="235"/>
      <c r="V32" s="235"/>
      <c r="W32" s="236" t="e">
        <f>IF(H35="Rusak Berat","",IF(I35="Rusak Berat","",VLOOKUP(I32,Sheet5!B3:C9,2,FALSE)))</f>
        <v>#N/A</v>
      </c>
      <c r="X32" s="243">
        <v>0.01</v>
      </c>
      <c r="Y32" s="177" t="e">
        <f>IF(H35="Rusak Berat","",IF(I35="Rusak Berat","",W32*X32))</f>
        <v>#N/A</v>
      </c>
      <c r="Z32" s="95"/>
    </row>
    <row r="33" spans="2:26" ht="36" customHeight="1" x14ac:dyDescent="0.35">
      <c r="B33" s="148"/>
      <c r="C33" s="84"/>
      <c r="D33" s="217" t="s">
        <v>195</v>
      </c>
      <c r="E33" s="217"/>
      <c r="F33" s="143" t="s">
        <v>196</v>
      </c>
      <c r="G33" s="172"/>
      <c r="H33" s="198"/>
      <c r="I33" s="347" t="s">
        <v>94</v>
      </c>
      <c r="J33" s="348"/>
      <c r="K33" s="348"/>
      <c r="L33" s="348"/>
      <c r="M33" s="348"/>
      <c r="N33" s="348"/>
      <c r="O33" s="349"/>
      <c r="P33" s="220"/>
      <c r="Q33" s="221"/>
      <c r="R33" s="221"/>
      <c r="S33" s="221"/>
      <c r="T33" s="221"/>
      <c r="U33" s="221"/>
      <c r="V33" s="221"/>
      <c r="W33" s="227" t="e">
        <f>IF(H35="Rusak Berat","",IF(I35="Rusak Berat","",VLOOKUP(I33,Sheet5!B21:C27,2,FALSE)))</f>
        <v>#N/A</v>
      </c>
      <c r="X33" s="243">
        <v>0.01</v>
      </c>
      <c r="Y33" s="177" t="e">
        <f>IF(H35="Rusak Berat","",IF(I35="Rusak Berat","",W33*X33))</f>
        <v>#N/A</v>
      </c>
      <c r="Z33" s="95"/>
    </row>
    <row r="34" spans="2:26" ht="15" thickBot="1" x14ac:dyDescent="0.4">
      <c r="B34" s="175"/>
      <c r="C34" s="79"/>
      <c r="D34" s="163" t="s">
        <v>198</v>
      </c>
      <c r="E34" s="237"/>
      <c r="F34" s="238" t="s">
        <v>199</v>
      </c>
      <c r="G34" s="239">
        <v>1</v>
      </c>
      <c r="H34" s="199"/>
      <c r="I34" s="209"/>
      <c r="J34" s="169"/>
      <c r="K34" s="169"/>
      <c r="L34" s="169"/>
      <c r="M34" s="169"/>
      <c r="N34" s="169"/>
      <c r="O34" s="210"/>
      <c r="P34" s="194" t="e">
        <f>IF($H$35="Rusak Berat","",IF($I$35="Rusak Berat","",I34/G34*$P$16))</f>
        <v>#N/A</v>
      </c>
      <c r="Q34" s="195" t="e">
        <f>IF($H$35="Rusak Berat","",IF($I$35="Rusak Berat","",J34/G34*$Q$16))</f>
        <v>#N/A</v>
      </c>
      <c r="R34" s="195" t="e">
        <f>IF($H$35="Rusak Berat","",IF($I$35="Rusak Berat","",K34/G34*$R$16))</f>
        <v>#N/A</v>
      </c>
      <c r="S34" s="195" t="e">
        <f>IF($H$35="Rusak Berat","",IF($I$35="Rusak Berat","",L34/G34*$S$16))</f>
        <v>#N/A</v>
      </c>
      <c r="T34" s="195" t="e">
        <f>IF($H$35="Rusak Berat","",IF($I$35="Rusak Berat","",M34/G34*$T$16))</f>
        <v>#N/A</v>
      </c>
      <c r="U34" s="195" t="e">
        <f>IF($H$35="Rusak Berat","",IF($I$35="Rusak Berat","",N34/G34*$U$16))</f>
        <v>#N/A</v>
      </c>
      <c r="V34" s="195" t="e">
        <f>IF($H$35="Rusak Berat","",IF($I$35="Rusak Berat","",O34/G34*$V$16))</f>
        <v>#N/A</v>
      </c>
      <c r="W34" s="226" t="e">
        <f>IF($H$35="Rusak Berat","",IF($I$35="Rusak Berat","",SUM(P34:V34)))</f>
        <v>#N/A</v>
      </c>
      <c r="X34" s="245">
        <v>0</v>
      </c>
      <c r="Y34" s="177" t="e">
        <f>IF(H35="Rusak Berat","",IF(I35="Rusak Berat","",W34*X34))</f>
        <v>#N/A</v>
      </c>
      <c r="Z34" s="95"/>
    </row>
    <row r="35" spans="2:26" ht="28.5" customHeight="1" thickBot="1" x14ac:dyDescent="0.4">
      <c r="B35" s="146"/>
      <c r="C35" s="147"/>
      <c r="D35" s="147"/>
      <c r="E35" s="147"/>
      <c r="F35" s="144"/>
      <c r="G35" s="144"/>
      <c r="H35" s="179" t="str">
        <f>IF(H18=Sheet1!G5,"Rusak Berat",IF(H19=Sheet1!G5,"Rusak Berat",IF(H20=Sheet1!G5,"Rusak Berat",IF(H21=Sheet1!G5,"Rusak Berat",IF(H22=Sheet1!G5,"Rusak Berat",IF(H23=Sheet1!G5,"Rusak Berat",IF(H18=Sheet1!G6,"Hitung Kerusakan",IF(H19=Sheet1!G6,"Hitung Kerusakan",IF(H20=Sheet1!G6,"Hitung Kerusakan",IF(H21=Sheet1!G6,"Hitung Kerusakan",IF(H22=Sheet1!G6,"Hitung Kerusakan","Cek Kerusakan Komponen Lain")))))))))))</f>
        <v>Cek Kerusakan Komponen Lain</v>
      </c>
      <c r="I35" s="455" t="e">
        <f>IF(W18&gt;0.2,"Rusak Berat",IF((SUM(W19:W21)/3)&gt;0.3,"Rusak Berat",IF(W22&gt;0.5,"Rusak Berat",IF(W23&gt;0.8,"Rusak Berat","Hitung Kerusakan Komponen"))))</f>
        <v>#N/A</v>
      </c>
      <c r="J35" s="456"/>
      <c r="K35" s="456"/>
      <c r="L35" s="456"/>
      <c r="M35" s="456"/>
      <c r="N35" s="456"/>
      <c r="O35" s="457"/>
      <c r="P35" s="339" t="s">
        <v>146</v>
      </c>
      <c r="Q35" s="339"/>
      <c r="R35" s="339"/>
      <c r="S35" s="339"/>
      <c r="T35" s="339"/>
      <c r="U35" s="339"/>
      <c r="V35" s="339"/>
      <c r="W35" s="339"/>
      <c r="X35" s="340"/>
      <c r="Y35" s="155" t="e">
        <f>IF(H35="Rusak Berat","",IF(I35="Rusak Berat","",SUM(Y18:Y34)))</f>
        <v>#N/A</v>
      </c>
      <c r="Z35" s="95"/>
    </row>
    <row r="36" spans="2:26" ht="15" thickBot="1" x14ac:dyDescent="0.4">
      <c r="B36" s="93"/>
      <c r="C36" s="89"/>
      <c r="D36" s="89"/>
      <c r="E36" s="89"/>
      <c r="F36" s="90"/>
      <c r="G36" s="93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5"/>
    </row>
    <row r="37" spans="2:26" ht="21.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336" t="s">
        <v>190</v>
      </c>
      <c r="Q37" s="337"/>
      <c r="R37" s="337"/>
      <c r="S37" s="337"/>
      <c r="T37" s="337"/>
      <c r="U37" s="337"/>
      <c r="V37" s="337"/>
      <c r="W37" s="337"/>
      <c r="X37" s="338"/>
      <c r="Y37" s="216" t="e">
        <f>IF(H35="Rusak Berat","Rusak Berat",IF(I35="Rusak Berat","Rusak Berat",Y38))</f>
        <v>#N/A</v>
      </c>
      <c r="Z37" s="95"/>
    </row>
    <row r="38" spans="2:26" hidden="1" x14ac:dyDescent="0.35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108"/>
      <c r="U38" s="108"/>
      <c r="X38" s="95"/>
      <c r="Y38" s="156" t="e">
        <f>IF(Y35=0,"Tidak Ada Kerusakan",IF(Y35&lt;=0.3,"Rusak Ringan",IF(Y35&gt;0.45,"Rusak Berat","Rusak Sedang")))</f>
        <v>#N/A</v>
      </c>
      <c r="Z38" s="95"/>
    </row>
    <row r="39" spans="2:26" ht="15" thickBot="1" x14ac:dyDescent="0.4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95"/>
    </row>
    <row r="40" spans="2:26" ht="15" thickTop="1" x14ac:dyDescent="0.35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331" t="s">
        <v>76</v>
      </c>
      <c r="X40" s="332"/>
      <c r="Y40" s="333"/>
      <c r="Z40" s="95"/>
    </row>
    <row r="41" spans="2:26" ht="21.75" customHeight="1" thickBot="1" x14ac:dyDescent="0.4">
      <c r="B41" s="125"/>
      <c r="C41" s="103"/>
      <c r="D41" s="103"/>
      <c r="E41" s="103"/>
      <c r="F41" s="103"/>
      <c r="G41" s="127"/>
      <c r="H41" s="103"/>
      <c r="I41" s="103"/>
      <c r="J41" s="103"/>
      <c r="K41" s="103"/>
      <c r="L41" s="103"/>
      <c r="M41" s="103"/>
      <c r="N41" s="89"/>
      <c r="O41" s="89"/>
      <c r="P41" s="89"/>
      <c r="Q41" s="89"/>
      <c r="R41" s="89"/>
      <c r="S41" s="89"/>
      <c r="T41" s="89"/>
      <c r="U41" s="89"/>
      <c r="V41" s="89"/>
      <c r="W41" s="133" t="s">
        <v>140</v>
      </c>
      <c r="Y41" s="134" t="s">
        <v>141</v>
      </c>
      <c r="Z41" s="95"/>
    </row>
    <row r="42" spans="2:26" ht="20" customHeight="1" x14ac:dyDescent="0.35">
      <c r="B42" s="334" t="s">
        <v>78</v>
      </c>
      <c r="C42" s="335"/>
      <c r="D42" s="335"/>
      <c r="E42" s="335"/>
      <c r="F42" s="335"/>
      <c r="G42" s="335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60"/>
      <c r="U42" s="89"/>
      <c r="V42" s="89"/>
      <c r="W42" s="133" t="s">
        <v>142</v>
      </c>
      <c r="Y42" s="134" t="s">
        <v>143</v>
      </c>
      <c r="Z42" s="95"/>
    </row>
    <row r="43" spans="2:26" ht="20" customHeight="1" thickBot="1" x14ac:dyDescent="0.4">
      <c r="B43" s="323"/>
      <c r="C43" s="324"/>
      <c r="D43" s="324"/>
      <c r="E43" s="324"/>
      <c r="F43" s="324"/>
      <c r="G43" s="324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61"/>
      <c r="U43" s="89"/>
      <c r="V43" s="89"/>
      <c r="W43" s="135" t="s">
        <v>144</v>
      </c>
      <c r="X43" s="136"/>
      <c r="Y43" s="137" t="s">
        <v>145</v>
      </c>
      <c r="Z43" s="95"/>
    </row>
    <row r="44" spans="2:26" ht="20" customHeight="1" thickTop="1" x14ac:dyDescent="0.35">
      <c r="B44" s="323"/>
      <c r="C44" s="324"/>
      <c r="D44" s="324"/>
      <c r="E44" s="324"/>
      <c r="F44" s="324"/>
      <c r="G44" s="324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61"/>
      <c r="U44" s="89"/>
      <c r="V44" s="89"/>
      <c r="W44" s="95"/>
      <c r="X44" s="95"/>
      <c r="Y44" s="95"/>
      <c r="Z44" s="95"/>
    </row>
    <row r="45" spans="2:26" ht="20" customHeight="1" x14ac:dyDescent="0.35">
      <c r="B45" s="323"/>
      <c r="C45" s="324"/>
      <c r="D45" s="324"/>
      <c r="E45" s="324"/>
      <c r="F45" s="324"/>
      <c r="G45" s="324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61"/>
      <c r="U45" s="89"/>
      <c r="V45" s="89"/>
      <c r="W45" s="320" t="s">
        <v>79</v>
      </c>
      <c r="X45" s="320"/>
      <c r="Y45" s="320"/>
      <c r="Z45" s="95"/>
    </row>
    <row r="46" spans="2:26" ht="20" customHeight="1" x14ac:dyDescent="0.35">
      <c r="B46" s="323"/>
      <c r="C46" s="324"/>
      <c r="D46" s="324"/>
      <c r="E46" s="324"/>
      <c r="F46" s="324"/>
      <c r="G46" s="324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61"/>
      <c r="U46" s="89"/>
      <c r="V46" s="89"/>
      <c r="W46" s="321" t="s">
        <v>139</v>
      </c>
      <c r="X46" s="321"/>
      <c r="Y46" s="321"/>
      <c r="Z46" s="95"/>
    </row>
    <row r="47" spans="2:26" ht="20" customHeight="1" x14ac:dyDescent="0.35">
      <c r="B47" s="323"/>
      <c r="C47" s="324"/>
      <c r="D47" s="324"/>
      <c r="E47" s="324"/>
      <c r="F47" s="324"/>
      <c r="G47" s="324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61"/>
      <c r="U47" s="89"/>
      <c r="V47" s="89"/>
      <c r="W47" s="138"/>
      <c r="X47" s="139"/>
      <c r="Y47" s="140"/>
      <c r="Z47" s="95"/>
    </row>
    <row r="48" spans="2:26" ht="20" customHeight="1" x14ac:dyDescent="0.35">
      <c r="B48" s="323"/>
      <c r="C48" s="324"/>
      <c r="D48" s="324"/>
      <c r="E48" s="324"/>
      <c r="F48" s="324"/>
      <c r="G48" s="324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61"/>
      <c r="U48" s="89"/>
      <c r="V48" s="89"/>
      <c r="W48" s="138"/>
      <c r="X48" s="139"/>
      <c r="Y48" s="140"/>
      <c r="Z48" s="95"/>
    </row>
    <row r="49" spans="2:26" ht="20" customHeight="1" x14ac:dyDescent="0.35">
      <c r="B49" s="323"/>
      <c r="C49" s="324"/>
      <c r="D49" s="324"/>
      <c r="E49" s="324"/>
      <c r="F49" s="324"/>
      <c r="G49" s="324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61"/>
      <c r="U49" s="89"/>
      <c r="V49" s="89"/>
      <c r="W49" s="319" t="s">
        <v>81</v>
      </c>
      <c r="X49" s="319"/>
      <c r="Y49" s="319"/>
      <c r="Z49" s="95"/>
    </row>
    <row r="50" spans="2:26" ht="20" customHeight="1" x14ac:dyDescent="0.35">
      <c r="B50" s="323"/>
      <c r="C50" s="324"/>
      <c r="D50" s="324"/>
      <c r="E50" s="324"/>
      <c r="F50" s="324"/>
      <c r="G50" s="324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61"/>
      <c r="U50" s="89"/>
      <c r="V50" s="89"/>
      <c r="W50" s="320" t="s">
        <v>133</v>
      </c>
      <c r="X50" s="320" t="s">
        <v>132</v>
      </c>
      <c r="Y50" s="320"/>
      <c r="Z50" s="95"/>
    </row>
    <row r="51" spans="2:26" ht="32.15" customHeight="1" x14ac:dyDescent="0.35">
      <c r="B51" s="323"/>
      <c r="C51" s="324"/>
      <c r="D51" s="324"/>
      <c r="E51" s="324"/>
      <c r="F51" s="324"/>
      <c r="G51" s="324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61"/>
      <c r="U51" s="89"/>
      <c r="V51" s="89"/>
      <c r="W51" s="322" t="s">
        <v>131</v>
      </c>
      <c r="X51" s="322"/>
      <c r="Y51" s="322"/>
      <c r="Z51" s="95"/>
    </row>
    <row r="52" spans="2:26" ht="20" customHeight="1" x14ac:dyDescent="0.35">
      <c r="B52" s="323"/>
      <c r="C52" s="324"/>
      <c r="D52" s="324"/>
      <c r="E52" s="324"/>
      <c r="F52" s="324"/>
      <c r="G52" s="324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61"/>
      <c r="U52" s="89"/>
      <c r="V52" s="89"/>
      <c r="W52" s="138"/>
      <c r="X52" s="139"/>
      <c r="Y52" s="140"/>
      <c r="Z52" s="95"/>
    </row>
    <row r="53" spans="2:26" ht="20" customHeight="1" x14ac:dyDescent="0.35">
      <c r="B53" s="323"/>
      <c r="C53" s="324"/>
      <c r="D53" s="324"/>
      <c r="E53" s="324"/>
      <c r="F53" s="324"/>
      <c r="G53" s="324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61"/>
      <c r="U53" s="89"/>
      <c r="V53" s="89"/>
      <c r="W53" s="138"/>
      <c r="X53" s="139"/>
      <c r="Y53" s="140"/>
      <c r="Z53" s="95"/>
    </row>
    <row r="54" spans="2:26" ht="20" customHeight="1" x14ac:dyDescent="0.35">
      <c r="B54" s="323"/>
      <c r="C54" s="324"/>
      <c r="D54" s="324"/>
      <c r="E54" s="324"/>
      <c r="F54" s="324"/>
      <c r="G54" s="324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61"/>
      <c r="U54" s="89"/>
      <c r="V54" s="89"/>
      <c r="W54" s="319" t="s">
        <v>81</v>
      </c>
      <c r="X54" s="319"/>
      <c r="Y54" s="319"/>
      <c r="Z54" s="95"/>
    </row>
    <row r="55" spans="2:26" ht="20" customHeight="1" x14ac:dyDescent="0.35">
      <c r="B55" s="323"/>
      <c r="C55" s="324"/>
      <c r="D55" s="324"/>
      <c r="E55" s="324"/>
      <c r="F55" s="324"/>
      <c r="G55" s="324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61"/>
      <c r="U55" s="89"/>
      <c r="V55" s="89"/>
      <c r="W55" s="320" t="s">
        <v>134</v>
      </c>
      <c r="X55" s="320" t="s">
        <v>132</v>
      </c>
      <c r="Y55" s="320"/>
      <c r="Z55" s="95"/>
    </row>
    <row r="56" spans="2:26" ht="20.25" customHeight="1" x14ac:dyDescent="0.35">
      <c r="B56" s="323"/>
      <c r="C56" s="324"/>
      <c r="D56" s="324"/>
      <c r="E56" s="324"/>
      <c r="F56" s="324"/>
      <c r="G56" s="324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61"/>
      <c r="U56" s="89"/>
      <c r="V56" s="89"/>
      <c r="W56" s="321" t="s">
        <v>135</v>
      </c>
      <c r="X56" s="321"/>
      <c r="Y56" s="321"/>
      <c r="Z56" s="95"/>
    </row>
    <row r="57" spans="2:26" ht="21" customHeight="1" x14ac:dyDescent="0.35">
      <c r="B57" s="323"/>
      <c r="C57" s="324"/>
      <c r="D57" s="324"/>
      <c r="E57" s="324"/>
      <c r="F57" s="324"/>
      <c r="G57" s="324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61"/>
      <c r="U57" s="89"/>
      <c r="V57" s="89"/>
      <c r="W57" s="138"/>
      <c r="X57" s="139"/>
      <c r="Y57" s="140"/>
      <c r="Z57" s="95"/>
    </row>
    <row r="58" spans="2:26" ht="20" customHeight="1" thickBot="1" x14ac:dyDescent="0.4">
      <c r="B58" s="325"/>
      <c r="C58" s="326"/>
      <c r="D58" s="326"/>
      <c r="E58" s="326"/>
      <c r="F58" s="326"/>
      <c r="G58" s="326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62"/>
      <c r="U58" s="89"/>
      <c r="V58" s="89"/>
      <c r="W58" s="138"/>
      <c r="X58" s="139"/>
      <c r="Y58" s="140"/>
      <c r="Z58" s="95"/>
    </row>
    <row r="59" spans="2:26" ht="20" customHeight="1" x14ac:dyDescent="0.35">
      <c r="B59" s="93"/>
      <c r="C59" s="89"/>
      <c r="D59" s="89"/>
      <c r="E59" s="89"/>
      <c r="F59" s="90"/>
      <c r="G59" s="93"/>
      <c r="H59" s="89"/>
      <c r="I59" s="89"/>
      <c r="J59" s="89"/>
      <c r="K59" s="89"/>
      <c r="L59" s="89"/>
      <c r="M59" s="89"/>
      <c r="N59" s="104"/>
      <c r="O59" s="89"/>
      <c r="P59" s="89"/>
      <c r="Q59" s="89"/>
      <c r="R59" s="89"/>
      <c r="S59" s="89"/>
      <c r="T59" s="89"/>
      <c r="U59" s="89"/>
      <c r="V59" s="89"/>
      <c r="W59" s="319" t="s">
        <v>81</v>
      </c>
      <c r="X59" s="319"/>
      <c r="Y59" s="319"/>
      <c r="Z59" s="95"/>
    </row>
    <row r="60" spans="2:26" ht="20" customHeight="1" x14ac:dyDescent="0.35">
      <c r="B60" s="131" t="s">
        <v>136</v>
      </c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4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5"/>
    </row>
    <row r="61" spans="2:26" ht="20" customHeight="1" x14ac:dyDescent="0.35">
      <c r="B61" s="131" t="s">
        <v>137</v>
      </c>
      <c r="C61" s="132" t="s">
        <v>138</v>
      </c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4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B62" s="93"/>
      <c r="C62" s="89"/>
      <c r="D62" s="89"/>
      <c r="E62" s="89"/>
      <c r="F62" s="90"/>
      <c r="G62" s="93"/>
      <c r="H62" s="89"/>
      <c r="I62" s="89"/>
      <c r="J62" s="89"/>
      <c r="K62" s="89"/>
      <c r="L62" s="89"/>
      <c r="M62" s="89"/>
      <c r="N62" s="104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5"/>
    </row>
    <row r="63" spans="2:26" ht="20" customHeight="1" x14ac:dyDescent="0.35">
      <c r="N63" s="75"/>
    </row>
  </sheetData>
  <mergeCells count="51">
    <mergeCell ref="B7:C7"/>
    <mergeCell ref="B4:C4"/>
    <mergeCell ref="E4:Y4"/>
    <mergeCell ref="B5:C5"/>
    <mergeCell ref="B6:C6"/>
    <mergeCell ref="E6:Y6"/>
    <mergeCell ref="G13:G16"/>
    <mergeCell ref="B8:C8"/>
    <mergeCell ref="E8:Y8"/>
    <mergeCell ref="B9:C9"/>
    <mergeCell ref="E9:G9"/>
    <mergeCell ref="J9:N9"/>
    <mergeCell ref="B10:C10"/>
    <mergeCell ref="E10:G10"/>
    <mergeCell ref="H10:Y10"/>
    <mergeCell ref="B11:C11"/>
    <mergeCell ref="B13:B16"/>
    <mergeCell ref="C13:C16"/>
    <mergeCell ref="D13:E16"/>
    <mergeCell ref="F13:F16"/>
    <mergeCell ref="H13:H16"/>
    <mergeCell ref="I13:O13"/>
    <mergeCell ref="Y13:Y16"/>
    <mergeCell ref="I14:I15"/>
    <mergeCell ref="J14:N14"/>
    <mergeCell ref="O14:O15"/>
    <mergeCell ref="W15:W16"/>
    <mergeCell ref="I32:O32"/>
    <mergeCell ref="I33:O33"/>
    <mergeCell ref="I35:O35"/>
    <mergeCell ref="P13:W13"/>
    <mergeCell ref="X13:X16"/>
    <mergeCell ref="P35:X35"/>
    <mergeCell ref="D17:E17"/>
    <mergeCell ref="I18:O18"/>
    <mergeCell ref="D20:E20"/>
    <mergeCell ref="D21:E21"/>
    <mergeCell ref="D22:E22"/>
    <mergeCell ref="P37:X37"/>
    <mergeCell ref="W40:Y40"/>
    <mergeCell ref="W59:Y59"/>
    <mergeCell ref="B43:G58"/>
    <mergeCell ref="W45:Y45"/>
    <mergeCell ref="W46:Y46"/>
    <mergeCell ref="W49:Y49"/>
    <mergeCell ref="W50:Y50"/>
    <mergeCell ref="W51:Y51"/>
    <mergeCell ref="W54:Y54"/>
    <mergeCell ref="W55:Y55"/>
    <mergeCell ref="W56:Y56"/>
    <mergeCell ref="B42:G42"/>
  </mergeCells>
  <conditionalFormatting sqref="H35:I35">
    <cfRule type="containsText" dxfId="7" priority="11" operator="containsText" text="Cek Kerusakan Komponen Lain">
      <formula>NOT(ISERROR(SEARCH("Cek Kerusakan Komponen Lain",H35)))</formula>
    </cfRule>
    <cfRule type="containsText" dxfId="6" priority="12" operator="containsText" text="Rusak Berat">
      <formula>NOT(ISERROR(SEARCH("Rusak Berat",H35)))</formula>
    </cfRule>
  </conditionalFormatting>
  <conditionalFormatting sqref="W18:W34">
    <cfRule type="containsBlanks" dxfId="5" priority="1">
      <formula>LEN(TRIM(W18))=0</formula>
    </cfRule>
    <cfRule type="cellIs" dxfId="4" priority="2" operator="greaterThan">
      <formula>1</formula>
    </cfRule>
  </conditionalFormatting>
  <conditionalFormatting sqref="Y37">
    <cfRule type="containsText" dxfId="3" priority="13" operator="containsText" text="Hitung Kerusakan">
      <formula>NOT(ISERROR(SEARCH("Hitung Kerusakan",Y37)))</formula>
    </cfRule>
    <cfRule type="containsText" dxfId="2" priority="18" operator="containsText" text="Rusak Ringan">
      <formula>NOT(ISERROR(SEARCH("Rusak Ringan",Y37)))</formula>
    </cfRule>
    <cfRule type="containsText" dxfId="1" priority="19" operator="containsText" text="Rusak Sedang">
      <formula>NOT(ISERROR(SEARCH("Rusak Sedang",Y37)))</formula>
    </cfRule>
    <cfRule type="containsText" dxfId="0" priority="20" operator="containsText" text="Rusak Berat">
      <formula>NOT(ISERROR(SEARCH("Rusak Berat",Y37)))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D4A894-175B-4127-85EE-D717536338B1}">
          <x14:formula1>
            <xm:f>Sheet5!$B$21:$B$27</xm:f>
          </x14:formula1>
          <xm:sqref>I33:O33</xm:sqref>
        </x14:dataValidation>
        <x14:dataValidation type="list" allowBlank="1" showInputMessage="1" showErrorMessage="1" xr:uid="{40B30EA6-8B74-49F1-BDAA-7215E898A2F2}">
          <x14:formula1>
            <xm:f>Sheet5!$B$3:$B$9</xm:f>
          </x14:formula1>
          <xm:sqref>I32:O32</xm:sqref>
        </x14:dataValidation>
        <x14:dataValidation type="list" allowBlank="1" showInputMessage="1" showErrorMessage="1" xr:uid="{5DC96184-D2B5-40DC-BCF5-2C6118437FCC}">
          <x14:formula1>
            <xm:f>Sheet5!$B$12:$B$18</xm:f>
          </x14:formula1>
          <xm:sqref>I18:O18</xm:sqref>
        </x14:dataValidation>
        <x14:dataValidation type="list" allowBlank="1" showInputMessage="1" showErrorMessage="1" xr:uid="{9C201453-789E-4F9F-B9C5-8A0F9F35CA91}">
          <x14:formula1>
            <xm:f>Sheet1!$C$4:$C$6</xm:f>
          </x14:formula1>
          <xm:sqref>H18:H23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FORM KERUSAKAN</vt:lpstr>
      <vt:lpstr>New FORM KERUSAKAN</vt:lpstr>
      <vt:lpstr>Sheet3</vt:lpstr>
      <vt:lpstr>Sheet1</vt:lpstr>
      <vt:lpstr>Sheet5</vt:lpstr>
      <vt:lpstr>Sheet2</vt:lpstr>
      <vt:lpstr>Atap</vt:lpstr>
      <vt:lpstr>Form II</vt:lpstr>
      <vt:lpstr>Sheet4</vt:lpstr>
      <vt:lpstr>kerusakanlistrik</vt:lpstr>
      <vt:lpstr>'Form II'!Print_Area</vt:lpstr>
      <vt:lpstr>'FORM KERUSAKAN'!Print_Area</vt:lpstr>
      <vt:lpstr>'New FORM KERUSAKAN'!Print_Area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muhammad chairul Rachman</cp:lastModifiedBy>
  <cp:lastPrinted>2020-10-10T07:29:16Z</cp:lastPrinted>
  <dcterms:created xsi:type="dcterms:W3CDTF">2018-11-06T08:43:16Z</dcterms:created>
  <dcterms:modified xsi:type="dcterms:W3CDTF">2025-02-17T07:30:17Z</dcterms:modified>
</cp:coreProperties>
</file>